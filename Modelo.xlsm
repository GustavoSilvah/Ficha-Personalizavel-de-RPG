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9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899a30a9295cfb/"/>
    </mc:Choice>
  </mc:AlternateContent>
  <xr:revisionPtr revIDLastSave="0" documentId="8_{AEC05FDA-E6E9-4A4F-9C11-91100184C4A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lanilha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1" l="1" a="1"/>
  <c r="O12" i="1" s="1"/>
  <c r="F13" i="1"/>
  <c r="K20" i="1"/>
  <c r="O13" i="1"/>
  <c r="J13" i="1"/>
  <c r="H28" i="1"/>
  <c r="N40" i="1"/>
  <c r="N38" i="1" s="1"/>
  <c r="K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<sst xmlns="http://schemas.openxmlformats.org/spreadsheetml/2006/main" count="113" uniqueCount="110">
  <si>
    <t>Ficha do jogador</t>
  </si>
  <si>
    <t>Atributos</t>
  </si>
  <si>
    <t>Nome:</t>
  </si>
  <si>
    <t>Força</t>
  </si>
  <si>
    <t>Aparência</t>
  </si>
  <si>
    <t>Jogador</t>
  </si>
  <si>
    <t>Constituição</t>
  </si>
  <si>
    <t>Inteligência</t>
  </si>
  <si>
    <t>Ocupação:</t>
  </si>
  <si>
    <t>Idade:</t>
  </si>
  <si>
    <t>Tamanho</t>
  </si>
  <si>
    <t>Sexo:</t>
  </si>
  <si>
    <t>Cidade:</t>
  </si>
  <si>
    <t>Nascimento</t>
  </si>
  <si>
    <t>02/16/2002</t>
  </si>
  <si>
    <t>Destreza</t>
  </si>
  <si>
    <t>Educação</t>
  </si>
  <si>
    <t>Lesão Grave:</t>
  </si>
  <si>
    <t>Morrendo:</t>
  </si>
  <si>
    <t>Sorte:</t>
  </si>
  <si>
    <t>Trauma:</t>
  </si>
  <si>
    <t>Taxa de movimento:</t>
  </si>
  <si>
    <t xml:space="preserve">Pontos de Vida(Total): </t>
  </si>
  <si>
    <t>Sanidade:</t>
  </si>
  <si>
    <t>Pontos de alquimia(Total):</t>
  </si>
  <si>
    <t>Pontos de Vida(Atual):</t>
  </si>
  <si>
    <t>Experiência:</t>
  </si>
  <si>
    <t>Pontos de alquimia(Atual):</t>
  </si>
  <si>
    <t>Perícias</t>
  </si>
  <si>
    <t>Armas de fogo(Pesada)</t>
  </si>
  <si>
    <t>Conserto elétrico</t>
  </si>
  <si>
    <t>Furtividade</t>
  </si>
  <si>
    <t>Sobrevivência</t>
  </si>
  <si>
    <t>Armas de fogo(Pistola)</t>
  </si>
  <si>
    <t>Conserto mecânico</t>
  </si>
  <si>
    <t>Lingua Nat</t>
  </si>
  <si>
    <t>Biblioteca</t>
  </si>
  <si>
    <t>Armas de fogo(Rifle)</t>
  </si>
  <si>
    <t>Contabilidade</t>
  </si>
  <si>
    <t>Lingua(Outra)</t>
  </si>
  <si>
    <t>Destaque</t>
  </si>
  <si>
    <t>Arremessar</t>
  </si>
  <si>
    <t>Dirigir(Auto)</t>
  </si>
  <si>
    <t>Lutar/Briga</t>
  </si>
  <si>
    <t>Atletismo</t>
  </si>
  <si>
    <t>Arte (Fotografia)</t>
  </si>
  <si>
    <t>Dirigir(Moto)</t>
  </si>
  <si>
    <t>Medicina</t>
  </si>
  <si>
    <t>Prestidigitação</t>
  </si>
  <si>
    <t>Arte(Pintura)</t>
  </si>
  <si>
    <t>Disfarce</t>
  </si>
  <si>
    <t>Natação</t>
  </si>
  <si>
    <t>Investigação</t>
  </si>
  <si>
    <t>Arte(Guitarra)</t>
  </si>
  <si>
    <t>Encontrar</t>
  </si>
  <si>
    <t>Navegação</t>
  </si>
  <si>
    <t>Natureza</t>
  </si>
  <si>
    <t>Arte(Violão)</t>
  </si>
  <si>
    <t>Escutar</t>
  </si>
  <si>
    <t>Crédito</t>
  </si>
  <si>
    <t>Intuição</t>
  </si>
  <si>
    <t>Arte(Teclado)</t>
  </si>
  <si>
    <t>Escalar</t>
  </si>
  <si>
    <t>Operar maquinário</t>
  </si>
  <si>
    <t>Atuação</t>
  </si>
  <si>
    <t>Anotações</t>
  </si>
  <si>
    <t>Arte(Cantar)</t>
  </si>
  <si>
    <t>Esquivar</t>
  </si>
  <si>
    <t>Persuasão</t>
  </si>
  <si>
    <t>Usar computadores</t>
  </si>
  <si>
    <t>Avaliação</t>
  </si>
  <si>
    <t>Lábia</t>
  </si>
  <si>
    <t>Pilotar</t>
  </si>
  <si>
    <t>Cavalgar</t>
  </si>
  <si>
    <t>Intimidação</t>
  </si>
  <si>
    <t>Primeiros socorros</t>
  </si>
  <si>
    <t>Charme</t>
  </si>
  <si>
    <t>História</t>
  </si>
  <si>
    <t>Psicologia</t>
  </si>
  <si>
    <t>Chaveiro</t>
  </si>
  <si>
    <t>Saltar</t>
  </si>
  <si>
    <t>Ciência</t>
  </si>
  <si>
    <t>Rastrear</t>
  </si>
  <si>
    <t>Armamento</t>
  </si>
  <si>
    <t>Arma</t>
  </si>
  <si>
    <t>Dano</t>
  </si>
  <si>
    <t>Munição</t>
  </si>
  <si>
    <t>Alcance</t>
  </si>
  <si>
    <t>Combate</t>
  </si>
  <si>
    <t>Dano Extra</t>
  </si>
  <si>
    <t>Corpo</t>
  </si>
  <si>
    <t>Dinheiro</t>
  </si>
  <si>
    <t>Atual</t>
  </si>
  <si>
    <t>Patrimônio</t>
  </si>
  <si>
    <t>Rituais e magias</t>
  </si>
  <si>
    <t>Feridas</t>
  </si>
  <si>
    <t>Efeito</t>
  </si>
  <si>
    <t>Sanidade</t>
  </si>
  <si>
    <t>Local</t>
  </si>
  <si>
    <t>Insanidade</t>
  </si>
  <si>
    <t>Tipo</t>
  </si>
  <si>
    <t>Duração</t>
  </si>
  <si>
    <t>Inventário</t>
  </si>
  <si>
    <t>Histórico</t>
  </si>
  <si>
    <t>Pertences</t>
  </si>
  <si>
    <t>Descrição</t>
  </si>
  <si>
    <t>Peso</t>
  </si>
  <si>
    <t>Família e amigos</t>
  </si>
  <si>
    <t>Características Físicas</t>
  </si>
  <si>
    <t>Características Psicológicas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</si>
</sst>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F4F4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0">
    <xf numFmtId="0" fontId="0" fillId="0" borderId="0" xfId="0"/>
    <xf numFmtId="1" fontId="0" fillId="2" borderId="0" xfId="0" applyNumberFormat="1" applyFill="1"/>
    <xf numFmtId="1" fontId="0" fillId="4" borderId="11" xfId="0" applyNumberFormat="1" applyFill="1" applyBorder="1" applyAlignment="1">
      <alignment horizontal="center" vertical="center"/>
    </xf>
    <xf numFmtId="1" fontId="0" fillId="4" borderId="74" xfId="0" applyNumberFormat="1" applyFill="1" applyBorder="1" applyAlignment="1">
      <alignment horizontal="center" vertical="center"/>
    </xf>
    <xf numFmtId="1" fontId="0" fillId="4" borderId="21" xfId="0" applyNumberFormat="1" applyFill="1" applyBorder="1" applyAlignment="1">
      <alignment horizontal="center" vertical="center"/>
    </xf>
    <xf numFmtId="1" fontId="0" fillId="6" borderId="94" xfId="0" applyNumberFormat="1" applyFill="1" applyBorder="1" applyAlignment="1">
      <alignment horizontal="center" vertical="center"/>
    </xf>
    <xf numFmtId="1" fontId="0" fillId="6" borderId="76" xfId="0" applyNumberFormat="1" applyFill="1" applyBorder="1" applyAlignment="1">
      <alignment horizontal="center" vertical="center"/>
    </xf>
    <xf numFmtId="1" fontId="0" fillId="6" borderId="30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vertical="center"/>
    </xf>
    <xf numFmtId="1" fontId="0" fillId="8" borderId="21" xfId="0" applyNumberFormat="1" applyFill="1" applyBorder="1" applyAlignment="1">
      <alignment horizontal="center" vertical="center" wrapText="1"/>
    </xf>
    <xf numFmtId="1" fontId="0" fillId="8" borderId="6" xfId="0" applyNumberFormat="1" applyFill="1" applyBorder="1" applyAlignment="1">
      <alignment horizontal="center" vertical="center" wrapText="1"/>
    </xf>
    <xf numFmtId="1" fontId="0" fillId="8" borderId="20" xfId="0" applyNumberFormat="1" applyFill="1" applyBorder="1" applyAlignment="1">
      <alignment horizontal="center" vertical="center" wrapText="1"/>
    </xf>
    <xf numFmtId="1" fontId="0" fillId="8" borderId="74" xfId="0" applyNumberFormat="1" applyFill="1" applyBorder="1" applyAlignment="1">
      <alignment horizontal="center" vertical="center" wrapText="1"/>
    </xf>
    <xf numFmtId="1" fontId="0" fillId="8" borderId="5" xfId="0" applyNumberFormat="1" applyFill="1" applyBorder="1" applyAlignment="1">
      <alignment horizontal="center" vertical="center" wrapText="1"/>
    </xf>
    <xf numFmtId="1" fontId="0" fillId="8" borderId="11" xfId="0" applyNumberFormat="1" applyFill="1" applyBorder="1" applyAlignment="1">
      <alignment horizontal="center" vertical="center" wrapText="1"/>
    </xf>
    <xf numFmtId="1" fontId="0" fillId="8" borderId="8" xfId="0" applyNumberFormat="1" applyFill="1" applyBorder="1" applyAlignment="1">
      <alignment horizontal="center" vertical="center" wrapText="1"/>
    </xf>
    <xf numFmtId="1" fontId="0" fillId="8" borderId="7" xfId="0" applyNumberFormat="1" applyFill="1" applyBorder="1" applyAlignment="1">
      <alignment horizontal="center" vertical="center" wrapText="1"/>
    </xf>
    <xf numFmtId="1" fontId="0" fillId="8" borderId="1" xfId="0" applyNumberFormat="1" applyFill="1" applyBorder="1" applyAlignment="1">
      <alignment horizontal="center" vertical="center" wrapText="1"/>
    </xf>
    <xf numFmtId="1" fontId="0" fillId="8" borderId="67" xfId="0" applyNumberFormat="1" applyFill="1" applyBorder="1" applyAlignment="1">
      <alignment horizontal="center" vertical="center" wrapText="1"/>
    </xf>
    <xf numFmtId="1" fontId="0" fillId="8" borderId="42" xfId="0" applyNumberFormat="1" applyFill="1" applyBorder="1" applyAlignment="1">
      <alignment horizontal="center" vertical="center" wrapText="1"/>
    </xf>
    <xf numFmtId="1" fontId="0" fillId="8" borderId="68" xfId="0" applyNumberFormat="1" applyFill="1" applyBorder="1" applyAlignment="1">
      <alignment horizontal="center" vertical="center" wrapText="1"/>
    </xf>
    <xf numFmtId="1" fontId="0" fillId="8" borderId="69" xfId="0" applyNumberFormat="1" applyFill="1" applyBorder="1" applyAlignment="1">
      <alignment horizontal="center" vertical="center" wrapText="1"/>
    </xf>
    <xf numFmtId="1" fontId="0" fillId="2" borderId="6" xfId="0" applyNumberFormat="1" applyFill="1" applyBorder="1"/>
    <xf numFmtId="1" fontId="0" fillId="2" borderId="5" xfId="0" applyNumberFormat="1" applyFill="1" applyBorder="1"/>
    <xf numFmtId="1" fontId="0" fillId="2" borderId="8" xfId="0" applyNumberFormat="1" applyFill="1" applyBorder="1"/>
    <xf numFmtId="1" fontId="0" fillId="2" borderId="1" xfId="0" applyNumberFormat="1" applyFill="1" applyBorder="1"/>
    <xf numFmtId="1" fontId="0" fillId="2" borderId="11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6" borderId="61" xfId="0" applyNumberFormat="1" applyFill="1" applyBorder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5" borderId="65" xfId="0" applyNumberFormat="1" applyFill="1" applyBorder="1" applyAlignment="1">
      <alignment horizontal="center" vertical="center" wrapText="1"/>
    </xf>
    <xf numFmtId="1" fontId="0" fillId="5" borderId="59" xfId="0" applyNumberFormat="1" applyFill="1" applyBorder="1" applyAlignment="1">
      <alignment horizontal="center" vertical="center" wrapText="1"/>
    </xf>
    <xf numFmtId="1" fontId="0" fillId="5" borderId="66" xfId="0" applyNumberFormat="1" applyFill="1" applyBorder="1" applyAlignment="1">
      <alignment horizontal="center" vertical="center" wrapText="1"/>
    </xf>
    <xf numFmtId="1" fontId="0" fillId="5" borderId="58" xfId="0" applyNumberFormat="1" applyFill="1" applyBorder="1" applyAlignment="1">
      <alignment horizontal="center" vertical="center" wrapText="1"/>
    </xf>
    <xf numFmtId="1" fontId="0" fillId="5" borderId="3" xfId="0" applyNumberForma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 wrapText="1"/>
    </xf>
    <xf numFmtId="1" fontId="0" fillId="5" borderId="50" xfId="0" applyNumberFormat="1" applyFill="1" applyBorder="1" applyAlignment="1">
      <alignment horizontal="center" vertical="center" wrapText="1"/>
    </xf>
    <xf numFmtId="1" fontId="0" fillId="5" borderId="48" xfId="0" applyNumberFormat="1" applyFill="1" applyBorder="1" applyAlignment="1">
      <alignment horizontal="center" vertical="center" wrapText="1"/>
    </xf>
    <xf numFmtId="1" fontId="0" fillId="5" borderId="49" xfId="0" applyNumberFormat="1" applyFill="1" applyBorder="1" applyAlignment="1">
      <alignment horizontal="center" vertical="center" wrapText="1"/>
    </xf>
    <xf numFmtId="1" fontId="0" fillId="5" borderId="70" xfId="0" applyNumberFormat="1" applyFill="1" applyBorder="1" applyAlignment="1">
      <alignment horizontal="center" vertical="center" wrapText="1"/>
    </xf>
    <xf numFmtId="1" fontId="0" fillId="5" borderId="71" xfId="0" applyNumberFormat="1" applyFill="1" applyBorder="1" applyAlignment="1">
      <alignment horizontal="center" vertical="center" wrapText="1"/>
    </xf>
    <xf numFmtId="1" fontId="0" fillId="5" borderId="27" xfId="0" applyNumberFormat="1" applyFill="1" applyBorder="1" applyAlignment="1">
      <alignment horizontal="center" vertical="center" wrapText="1"/>
    </xf>
    <xf numFmtId="1" fontId="0" fillId="5" borderId="0" xfId="0" applyNumberFormat="1" applyFill="1" applyAlignment="1">
      <alignment horizontal="center" vertical="center" wrapText="1"/>
    </xf>
    <xf numFmtId="1" fontId="0" fillId="5" borderId="30" xfId="0" applyNumberFormat="1" applyFill="1" applyBorder="1" applyAlignment="1">
      <alignment horizontal="center" vertical="center" wrapText="1"/>
    </xf>
    <xf numFmtId="1" fontId="0" fillId="9" borderId="25" xfId="0" applyNumberFormat="1" applyFill="1" applyBorder="1" applyAlignment="1">
      <alignment horizontal="center" vertical="center" wrapText="1"/>
    </xf>
    <xf numFmtId="1" fontId="0" fillId="9" borderId="4" xfId="0" applyNumberFormat="1" applyFill="1" applyBorder="1" applyAlignment="1">
      <alignment horizontal="center" vertical="center" wrapText="1"/>
    </xf>
    <xf numFmtId="1" fontId="0" fillId="9" borderId="20" xfId="0" applyNumberFormat="1" applyFill="1" applyBorder="1" applyAlignment="1">
      <alignment horizontal="center" vertical="center" wrapText="1"/>
    </xf>
    <xf numFmtId="1" fontId="0" fillId="9" borderId="6" xfId="0" applyNumberFormat="1" applyFill="1" applyBorder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3" borderId="26" xfId="0" applyNumberFormat="1" applyFont="1" applyFill="1" applyBorder="1" applyAlignment="1">
      <alignment horizontal="center" vertical="center"/>
    </xf>
    <xf numFmtId="1" fontId="4" fillId="3" borderId="15" xfId="0" applyNumberFormat="1" applyFont="1" applyFill="1" applyBorder="1" applyAlignment="1">
      <alignment horizontal="center" vertical="center"/>
    </xf>
    <xf numFmtId="1" fontId="4" fillId="3" borderId="16" xfId="0" applyNumberFormat="1" applyFont="1" applyFill="1" applyBorder="1" applyAlignment="1">
      <alignment horizontal="center" vertical="center"/>
    </xf>
    <xf numFmtId="1" fontId="4" fillId="3" borderId="27" xfId="0" applyNumberFormat="1" applyFont="1" applyFill="1" applyBorder="1" applyAlignment="1">
      <alignment horizontal="center" vertical="center"/>
    </xf>
    <xf numFmtId="1" fontId="4" fillId="3" borderId="17" xfId="0" applyNumberFormat="1" applyFont="1" applyFill="1" applyBorder="1" applyAlignment="1">
      <alignment horizontal="center" vertical="center"/>
    </xf>
    <xf numFmtId="1" fontId="0" fillId="9" borderId="25" xfId="0" applyNumberFormat="1" applyFill="1" applyBorder="1" applyAlignment="1">
      <alignment horizontal="center" vertical="center"/>
    </xf>
    <xf numFmtId="1" fontId="0" fillId="9" borderId="54" xfId="0" applyNumberFormat="1" applyFill="1" applyBorder="1" applyAlignment="1">
      <alignment horizontal="center" vertical="center"/>
    </xf>
    <xf numFmtId="1" fontId="0" fillId="9" borderId="20" xfId="0" applyNumberFormat="1" applyFill="1" applyBorder="1" applyAlignment="1">
      <alignment horizontal="center" vertical="center"/>
    </xf>
    <xf numFmtId="1" fontId="0" fillId="9" borderId="53" xfId="0" applyNumberFormat="1" applyFill="1" applyBorder="1" applyAlignment="1">
      <alignment horizontal="center" vertical="center"/>
    </xf>
    <xf numFmtId="1" fontId="0" fillId="9" borderId="57" xfId="0" applyNumberFormat="1" applyFill="1" applyBorder="1" applyAlignment="1">
      <alignment horizontal="center" vertical="center"/>
    </xf>
    <xf numFmtId="1" fontId="0" fillId="9" borderId="58" xfId="0" applyNumberFormat="1" applyFill="1" applyBorder="1" applyAlignment="1">
      <alignment horizontal="center" vertical="center"/>
    </xf>
    <xf numFmtId="1" fontId="0" fillId="9" borderId="4" xfId="0" applyNumberFormat="1" applyFill="1" applyBorder="1" applyAlignment="1">
      <alignment horizontal="center" vertical="center"/>
    </xf>
    <xf numFmtId="1" fontId="0" fillId="9" borderId="48" xfId="0" applyNumberFormat="1" applyFill="1" applyBorder="1" applyAlignment="1">
      <alignment horizontal="center" vertical="center"/>
    </xf>
    <xf numFmtId="1" fontId="0" fillId="5" borderId="22" xfId="0" applyNumberFormat="1" applyFill="1" applyBorder="1" applyAlignment="1">
      <alignment horizontal="center" vertical="center"/>
    </xf>
    <xf numFmtId="1" fontId="0" fillId="5" borderId="23" xfId="0" applyNumberFormat="1" applyFill="1" applyBorder="1" applyAlignment="1">
      <alignment horizontal="center" vertical="center"/>
    </xf>
    <xf numFmtId="1" fontId="0" fillId="5" borderId="85" xfId="0" applyNumberFormat="1" applyFill="1" applyBorder="1" applyAlignment="1">
      <alignment horizontal="center" vertical="center"/>
    </xf>
    <xf numFmtId="1" fontId="0" fillId="5" borderId="75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2" borderId="27" xfId="0" applyNumberFormat="1" applyFill="1" applyBorder="1" applyAlignment="1">
      <alignment horizontal="center" vertical="center"/>
    </xf>
    <xf numFmtId="1" fontId="0" fillId="6" borderId="95" xfId="0" applyNumberFormat="1" applyFill="1" applyBorder="1" applyAlignment="1">
      <alignment horizontal="center" vertical="center"/>
    </xf>
    <xf numFmtId="1" fontId="0" fillId="6" borderId="84" xfId="0" applyNumberFormat="1" applyFill="1" applyBorder="1" applyAlignment="1">
      <alignment horizontal="center" vertical="center"/>
    </xf>
    <xf numFmtId="1" fontId="0" fillId="5" borderId="26" xfId="0" applyNumberFormat="1" applyFill="1" applyBorder="1" applyAlignment="1">
      <alignment horizontal="center" vertical="center" wrapText="1"/>
    </xf>
    <xf numFmtId="1" fontId="0" fillId="5" borderId="51" xfId="0" applyNumberFormat="1" applyFill="1" applyBorder="1" applyAlignment="1">
      <alignment horizontal="center" vertical="center" wrapText="1"/>
    </xf>
    <xf numFmtId="1" fontId="0" fillId="5" borderId="64" xfId="0" applyNumberFormat="1" applyFill="1" applyBorder="1" applyAlignment="1">
      <alignment horizontal="center" vertical="center" wrapText="1"/>
    </xf>
    <xf numFmtId="1" fontId="0" fillId="5" borderId="47" xfId="0" applyNumberFormat="1" applyFill="1" applyBorder="1" applyAlignment="1">
      <alignment horizontal="center" vertical="center" wrapText="1"/>
    </xf>
    <xf numFmtId="1" fontId="0" fillId="5" borderId="2" xfId="0" applyNumberFormat="1" applyFill="1" applyBorder="1" applyAlignment="1">
      <alignment horizontal="center" vertical="center" wrapText="1"/>
    </xf>
    <xf numFmtId="1" fontId="0" fillId="5" borderId="6" xfId="0" applyNumberFormat="1" applyFill="1" applyBorder="1" applyAlignment="1">
      <alignment horizontal="center" vertical="center" wrapText="1"/>
    </xf>
    <xf numFmtId="1" fontId="0" fillId="6" borderId="32" xfId="0" applyNumberFormat="1" applyFill="1" applyBorder="1" applyAlignment="1">
      <alignment horizontal="center" vertical="center"/>
    </xf>
    <xf numFmtId="1" fontId="0" fillId="6" borderId="33" xfId="0" applyNumberFormat="1" applyFill="1" applyBorder="1" applyAlignment="1">
      <alignment horizontal="center" vertical="center"/>
    </xf>
    <xf numFmtId="1" fontId="0" fillId="7" borderId="45" xfId="0" applyNumberFormat="1" applyFill="1" applyBorder="1" applyAlignment="1">
      <alignment horizontal="center" vertical="center"/>
    </xf>
    <xf numFmtId="1" fontId="0" fillId="7" borderId="35" xfId="0" applyNumberFormat="1" applyFill="1" applyBorder="1" applyAlignment="1">
      <alignment horizontal="center" vertical="center"/>
    </xf>
    <xf numFmtId="1" fontId="0" fillId="7" borderId="42" xfId="0" applyNumberFormat="1" applyFill="1" applyBorder="1" applyAlignment="1">
      <alignment horizontal="center" vertical="center"/>
    </xf>
    <xf numFmtId="1" fontId="0" fillId="7" borderId="56" xfId="0" applyNumberFormat="1" applyFill="1" applyBorder="1" applyAlignment="1">
      <alignment horizontal="center" vertical="center"/>
    </xf>
    <xf numFmtId="1" fontId="0" fillId="7" borderId="96" xfId="0" applyNumberFormat="1" applyFill="1" applyBorder="1" applyAlignment="1">
      <alignment horizontal="center" vertical="center"/>
    </xf>
    <xf numFmtId="1" fontId="0" fillId="7" borderId="79" xfId="0" applyNumberFormat="1" applyFill="1" applyBorder="1" applyAlignment="1">
      <alignment horizontal="center" vertical="center"/>
    </xf>
    <xf numFmtId="1" fontId="0" fillId="7" borderId="80" xfId="0" applyNumberFormat="1" applyFill="1" applyBorder="1" applyAlignment="1">
      <alignment horizontal="center" vertical="center"/>
    </xf>
    <xf numFmtId="1" fontId="0" fillId="7" borderId="40" xfId="0" applyNumberFormat="1" applyFill="1" applyBorder="1" applyAlignment="1">
      <alignment horizontal="center" vertical="center"/>
    </xf>
    <xf numFmtId="1" fontId="0" fillId="7" borderId="69" xfId="0" applyNumberFormat="1" applyFill="1" applyBorder="1" applyAlignment="1">
      <alignment horizontal="center" vertical="center"/>
    </xf>
    <xf numFmtId="1" fontId="0" fillId="7" borderId="81" xfId="0" applyNumberFormat="1" applyFill="1" applyBorder="1" applyAlignment="1">
      <alignment horizontal="center" vertical="center"/>
    </xf>
    <xf numFmtId="1" fontId="0" fillId="7" borderId="77" xfId="0" applyNumberForma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/>
    </xf>
    <xf numFmtId="1" fontId="3" fillId="0" borderId="77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0" fillId="4" borderId="32" xfId="0" applyNumberFormat="1" applyFill="1" applyBorder="1" applyAlignment="1">
      <alignment horizontal="center" vertical="center"/>
    </xf>
    <xf numFmtId="1" fontId="0" fillId="4" borderId="33" xfId="0" applyNumberFormat="1" applyFill="1" applyBorder="1" applyAlignment="1">
      <alignment horizontal="center" vertical="center"/>
    </xf>
    <xf numFmtId="1" fontId="0" fillId="7" borderId="43" xfId="0" applyNumberFormat="1" applyFill="1" applyBorder="1" applyAlignment="1">
      <alignment horizontal="center" vertical="center"/>
    </xf>
    <xf numFmtId="1" fontId="0" fillId="7" borderId="65" xfId="0" applyNumberFormat="1" applyFill="1" applyBorder="1" applyAlignment="1">
      <alignment horizontal="center" vertical="center"/>
    </xf>
    <xf numFmtId="1" fontId="0" fillId="7" borderId="70" xfId="0" applyNumberFormat="1" applyFill="1" applyBorder="1" applyAlignment="1">
      <alignment horizontal="center" vertical="center"/>
    </xf>
    <xf numFmtId="1" fontId="0" fillId="7" borderId="66" xfId="0" applyNumberFormat="1" applyFill="1" applyBorder="1" applyAlignment="1">
      <alignment horizontal="center" vertical="center"/>
    </xf>
    <xf numFmtId="1" fontId="0" fillId="7" borderId="78" xfId="0" applyNumberFormat="1" applyFill="1" applyBorder="1" applyAlignment="1">
      <alignment horizontal="center" vertical="center"/>
    </xf>
    <xf numFmtId="1" fontId="0" fillId="4" borderId="86" xfId="0" applyNumberFormat="1" applyFill="1" applyBorder="1" applyAlignment="1">
      <alignment horizontal="center" vertical="center"/>
    </xf>
    <xf numFmtId="1" fontId="0" fillId="4" borderId="19" xfId="0" applyNumberFormat="1" applyFill="1" applyBorder="1" applyAlignment="1">
      <alignment horizontal="center" vertical="center"/>
    </xf>
    <xf numFmtId="1" fontId="2" fillId="4" borderId="14" xfId="0" applyNumberFormat="1" applyFont="1" applyFill="1" applyBorder="1" applyAlignment="1">
      <alignment horizontal="center" vertical="center"/>
    </xf>
    <xf numFmtId="1" fontId="2" fillId="4" borderId="26" xfId="0" applyNumberFormat="1" applyFont="1" applyFill="1" applyBorder="1" applyAlignment="1">
      <alignment horizontal="center" vertical="center"/>
    </xf>
    <xf numFmtId="1" fontId="2" fillId="4" borderId="15" xfId="0" applyNumberFormat="1" applyFont="1" applyFill="1" applyBorder="1" applyAlignment="1">
      <alignment horizontal="center" vertical="center"/>
    </xf>
    <xf numFmtId="1" fontId="2" fillId="4" borderId="16" xfId="0" applyNumberFormat="1" applyFont="1" applyFill="1" applyBorder="1" applyAlignment="1">
      <alignment horizontal="center" vertical="center"/>
    </xf>
    <xf numFmtId="1" fontId="2" fillId="4" borderId="27" xfId="0" applyNumberFormat="1" applyFont="1" applyFill="1" applyBorder="1" applyAlignment="1">
      <alignment horizontal="center" vertical="center"/>
    </xf>
    <xf numFmtId="1" fontId="2" fillId="4" borderId="17" xfId="0" applyNumberFormat="1" applyFont="1" applyFill="1" applyBorder="1" applyAlignment="1">
      <alignment horizontal="center" vertical="center"/>
    </xf>
    <xf numFmtId="1" fontId="0" fillId="4" borderId="18" xfId="0" applyNumberFormat="1" applyFill="1" applyBorder="1" applyAlignment="1">
      <alignment horizontal="center" vertical="center"/>
    </xf>
    <xf numFmtId="1" fontId="0" fillId="4" borderId="14" xfId="0" applyNumberFormat="1" applyFill="1" applyBorder="1" applyAlignment="1">
      <alignment horizontal="center" vertical="center"/>
    </xf>
    <xf numFmtId="1" fontId="0" fillId="4" borderId="26" xfId="0" applyNumberFormat="1" applyFill="1" applyBorder="1" applyAlignment="1">
      <alignment horizontal="center" vertical="center"/>
    </xf>
    <xf numFmtId="1" fontId="0" fillId="4" borderId="15" xfId="0" applyNumberFormat="1" applyFill="1" applyBorder="1" applyAlignment="1">
      <alignment horizontal="center" vertical="center"/>
    </xf>
    <xf numFmtId="1" fontId="0" fillId="4" borderId="16" xfId="0" applyNumberFormat="1" applyFill="1" applyBorder="1" applyAlignment="1">
      <alignment horizontal="center" vertical="center"/>
    </xf>
    <xf numFmtId="1" fontId="0" fillId="4" borderId="27" xfId="0" applyNumberFormat="1" applyFill="1" applyBorder="1" applyAlignment="1">
      <alignment horizontal="center" vertical="center"/>
    </xf>
    <xf numFmtId="1" fontId="0" fillId="4" borderId="17" xfId="0" applyNumberFormat="1" applyFill="1" applyBorder="1" applyAlignment="1">
      <alignment horizontal="center" vertical="center"/>
    </xf>
    <xf numFmtId="1" fontId="1" fillId="0" borderId="45" xfId="0" applyNumberFormat="1" applyFont="1" applyBorder="1" applyAlignment="1">
      <alignment horizontal="center" vertical="center"/>
    </xf>
    <xf numFmtId="1" fontId="1" fillId="0" borderId="79" xfId="0" applyNumberFormat="1" applyFont="1" applyBorder="1" applyAlignment="1">
      <alignment horizontal="center" vertical="center"/>
    </xf>
    <xf numFmtId="1" fontId="1" fillId="0" borderId="77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1" fontId="1" fillId="0" borderId="69" xfId="0" applyNumberFormat="1" applyFont="1" applyBorder="1" applyAlignment="1">
      <alignment horizontal="center" vertical="center"/>
    </xf>
    <xf numFmtId="1" fontId="1" fillId="0" borderId="56" xfId="0" applyNumberFormat="1" applyFont="1" applyBorder="1" applyAlignment="1">
      <alignment horizontal="center" vertical="center"/>
    </xf>
    <xf numFmtId="1" fontId="0" fillId="5" borderId="72" xfId="0" applyNumberFormat="1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1" fontId="0" fillId="5" borderId="7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1" fontId="0" fillId="5" borderId="2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1" fontId="0" fillId="5" borderId="20" xfId="0" applyNumberFormat="1" applyFill="1" applyBorder="1" applyAlignment="1">
      <alignment horizontal="center" vertical="center"/>
    </xf>
    <xf numFmtId="1" fontId="0" fillId="5" borderId="73" xfId="0" applyNumberFormat="1" applyFill="1" applyBorder="1" applyAlignment="1">
      <alignment horizontal="center" vertical="center"/>
    </xf>
    <xf numFmtId="1" fontId="0" fillId="5" borderId="5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" fontId="0" fillId="9" borderId="54" xfId="0" applyNumberFormat="1" applyFill="1" applyBorder="1" applyAlignment="1">
      <alignment horizontal="center" vertical="center" wrapText="1"/>
    </xf>
    <xf numFmtId="1" fontId="0" fillId="9" borderId="53" xfId="0" applyNumberFormat="1" applyFill="1" applyBorder="1" applyAlignment="1">
      <alignment horizontal="center" vertical="center" wrapText="1"/>
    </xf>
    <xf numFmtId="1" fontId="0" fillId="9" borderId="28" xfId="0" applyNumberFormat="1" applyFill="1" applyBorder="1" applyAlignment="1">
      <alignment horizontal="center" vertical="center" wrapText="1"/>
    </xf>
    <xf numFmtId="1" fontId="0" fillId="9" borderId="29" xfId="0" applyNumberFormat="1" applyFill="1" applyBorder="1" applyAlignment="1">
      <alignment horizontal="center" vertical="center" wrapText="1"/>
    </xf>
    <xf numFmtId="1" fontId="0" fillId="9" borderId="51" xfId="0" applyNumberFormat="1" applyFill="1" applyBorder="1" applyAlignment="1">
      <alignment horizontal="center" vertical="center" wrapText="1"/>
    </xf>
    <xf numFmtId="1" fontId="0" fillId="8" borderId="65" xfId="0" applyNumberFormat="1" applyFill="1" applyBorder="1" applyAlignment="1">
      <alignment horizontal="center" vertical="center"/>
    </xf>
    <xf numFmtId="1" fontId="0" fillId="8" borderId="49" xfId="0" applyNumberFormat="1" applyFill="1" applyBorder="1" applyAlignment="1">
      <alignment horizontal="center" vertical="center"/>
    </xf>
    <xf numFmtId="1" fontId="0" fillId="8" borderId="0" xfId="0" applyNumberFormat="1" applyFill="1" applyAlignment="1">
      <alignment horizontal="center" vertical="center"/>
    </xf>
    <xf numFmtId="1" fontId="0" fillId="8" borderId="64" xfId="0" applyNumberFormat="1" applyFill="1" applyBorder="1" applyAlignment="1">
      <alignment horizontal="center" vertical="center"/>
    </xf>
    <xf numFmtId="1" fontId="0" fillId="8" borderId="66" xfId="0" applyNumberFormat="1" applyFill="1" applyBorder="1" applyAlignment="1">
      <alignment horizontal="center" vertical="center"/>
    </xf>
    <xf numFmtId="1" fontId="0" fillId="8" borderId="50" xfId="0" applyNumberFormat="1" applyFill="1" applyBorder="1" applyAlignment="1">
      <alignment horizontal="center" vertical="center"/>
    </xf>
    <xf numFmtId="1" fontId="0" fillId="8" borderId="58" xfId="0" applyNumberFormat="1" applyFill="1" applyBorder="1" applyAlignment="1">
      <alignment horizontal="center" vertical="center"/>
    </xf>
    <xf numFmtId="1" fontId="0" fillId="9" borderId="31" xfId="0" applyNumberFormat="1" applyFill="1" applyBorder="1" applyAlignment="1">
      <alignment horizontal="center" vertical="center" wrapText="1"/>
    </xf>
    <xf numFmtId="1" fontId="0" fillId="9" borderId="0" xfId="0" applyNumberFormat="1" applyFill="1" applyAlignment="1">
      <alignment horizontal="center" vertical="center" wrapText="1"/>
    </xf>
    <xf numFmtId="1" fontId="0" fillId="9" borderId="30" xfId="0" applyNumberFormat="1" applyFill="1" applyBorder="1" applyAlignment="1">
      <alignment horizontal="center" vertical="center" wrapText="1"/>
    </xf>
    <xf numFmtId="1" fontId="0" fillId="9" borderId="16" xfId="0" applyNumberFormat="1" applyFill="1" applyBorder="1" applyAlignment="1">
      <alignment horizontal="center" vertical="center" wrapText="1"/>
    </xf>
    <xf numFmtId="1" fontId="0" fillId="9" borderId="27" xfId="0" applyNumberFormat="1" applyFill="1" applyBorder="1" applyAlignment="1">
      <alignment horizontal="center" vertical="center" wrapText="1"/>
    </xf>
    <xf numFmtId="1" fontId="0" fillId="6" borderId="82" xfId="0" applyNumberFormat="1" applyFill="1" applyBorder="1" applyAlignment="1">
      <alignment horizontal="center" vertical="center"/>
    </xf>
    <xf numFmtId="1" fontId="0" fillId="6" borderId="8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" fontId="0" fillId="5" borderId="30" xfId="0" applyNumberFormat="1" applyFill="1" applyBorder="1" applyAlignment="1">
      <alignment horizontal="center" vertical="center"/>
    </xf>
    <xf numFmtId="1" fontId="0" fillId="5" borderId="27" xfId="0" applyNumberFormat="1" applyFill="1" applyBorder="1" applyAlignment="1">
      <alignment horizontal="center" vertical="center"/>
    </xf>
    <xf numFmtId="1" fontId="0" fillId="5" borderId="52" xfId="0" applyNumberFormat="1" applyFill="1" applyBorder="1" applyAlignment="1">
      <alignment horizontal="center" vertical="center"/>
    </xf>
    <xf numFmtId="1" fontId="0" fillId="5" borderId="38" xfId="0" applyNumberFormat="1" applyFill="1" applyBorder="1" applyAlignment="1">
      <alignment horizontal="center" vertical="center"/>
    </xf>
    <xf numFmtId="1" fontId="0" fillId="5" borderId="62" xfId="0" applyNumberFormat="1" applyFill="1" applyBorder="1" applyAlignment="1">
      <alignment horizontal="center" vertical="center"/>
    </xf>
    <xf numFmtId="1" fontId="0" fillId="5" borderId="63" xfId="0" applyNumberFormat="1" applyFill="1" applyBorder="1" applyAlignment="1">
      <alignment horizontal="center" vertical="center"/>
    </xf>
    <xf numFmtId="1" fontId="0" fillId="5" borderId="44" xfId="0" applyNumberFormat="1" applyFill="1" applyBorder="1" applyAlignment="1">
      <alignment horizontal="center" vertical="center"/>
    </xf>
    <xf numFmtId="1" fontId="0" fillId="5" borderId="45" xfId="0" applyNumberFormat="1" applyFill="1" applyBorder="1" applyAlignment="1">
      <alignment horizontal="center" vertical="center"/>
    </xf>
    <xf numFmtId="1" fontId="0" fillId="5" borderId="41" xfId="0" applyNumberFormat="1" applyFill="1" applyBorder="1" applyAlignment="1">
      <alignment horizontal="center" vertical="center"/>
    </xf>
    <xf numFmtId="1" fontId="0" fillId="5" borderId="42" xfId="0" applyNumberFormat="1" applyFill="1" applyBorder="1" applyAlignment="1">
      <alignment horizontal="center" vertical="center"/>
    </xf>
    <xf numFmtId="1" fontId="0" fillId="6" borderId="12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6" borderId="10" xfId="0" applyNumberFormat="1" applyFill="1" applyBorder="1" applyAlignment="1">
      <alignment horizontal="center" vertical="center"/>
    </xf>
    <xf numFmtId="1" fontId="0" fillId="6" borderId="20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1" fontId="0" fillId="6" borderId="6" xfId="0" applyNumberFormat="1" applyFill="1" applyBorder="1" applyAlignment="1">
      <alignment horizontal="center" vertical="center"/>
    </xf>
    <xf numFmtId="1" fontId="0" fillId="9" borderId="6" xfId="0" applyNumberFormat="1" applyFill="1" applyBorder="1" applyAlignment="1">
      <alignment horizontal="center" vertical="center"/>
    </xf>
    <xf numFmtId="1" fontId="0" fillId="6" borderId="9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1" fontId="0" fillId="6" borderId="36" xfId="0" applyNumberFormat="1" applyFill="1" applyBorder="1" applyAlignment="1">
      <alignment horizontal="center" vertical="center"/>
    </xf>
    <xf numFmtId="1" fontId="0" fillId="6" borderId="35" xfId="0" applyNumberFormat="1" applyFill="1" applyBorder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" fontId="0" fillId="10" borderId="30" xfId="0" applyNumberFormat="1" applyFill="1" applyBorder="1" applyAlignment="1">
      <alignment horizontal="center" vertical="center"/>
    </xf>
    <xf numFmtId="1" fontId="0" fillId="10" borderId="27" xfId="0" applyNumberFormat="1" applyFill="1" applyBorder="1" applyAlignment="1">
      <alignment horizontal="center" vertical="center"/>
    </xf>
    <xf numFmtId="1" fontId="0" fillId="10" borderId="17" xfId="0" applyNumberFormat="1" applyFill="1" applyBorder="1" applyAlignment="1">
      <alignment horizontal="center" vertical="center"/>
    </xf>
    <xf numFmtId="1" fontId="0" fillId="10" borderId="26" xfId="0" applyNumberFormat="1" applyFill="1" applyBorder="1" applyAlignment="1">
      <alignment horizontal="center" vertical="center"/>
    </xf>
    <xf numFmtId="1" fontId="0" fillId="10" borderId="15" xfId="0" applyNumberFormat="1" applyFill="1" applyBorder="1" applyAlignment="1">
      <alignment horizontal="center" vertical="center"/>
    </xf>
    <xf numFmtId="1" fontId="0" fillId="10" borderId="14" xfId="0" applyNumberFormat="1" applyFill="1" applyBorder="1" applyAlignment="1">
      <alignment horizontal="center" vertical="center"/>
    </xf>
    <xf numFmtId="1" fontId="0" fillId="10" borderId="16" xfId="0" applyNumberFormat="1" applyFill="1" applyBorder="1" applyAlignment="1">
      <alignment horizontal="center" vertical="center"/>
    </xf>
    <xf numFmtId="1" fontId="0" fillId="10" borderId="29" xfId="0" applyNumberFormat="1" applyFill="1" applyBorder="1" applyAlignment="1">
      <alignment horizontal="center" vertical="center"/>
    </xf>
    <xf numFmtId="1" fontId="0" fillId="10" borderId="2" xfId="0" applyNumberFormat="1" applyFill="1" applyBorder="1" applyAlignment="1">
      <alignment horizontal="center" vertical="center"/>
    </xf>
    <xf numFmtId="1" fontId="0" fillId="10" borderId="6" xfId="0" applyNumberFormat="1" applyFill="1" applyBorder="1" applyAlignment="1">
      <alignment horizontal="center" vertical="center"/>
    </xf>
    <xf numFmtId="1" fontId="0" fillId="10" borderId="28" xfId="0" applyNumberFormat="1" applyFill="1" applyBorder="1" applyAlignment="1">
      <alignment horizontal="center" vertical="center"/>
    </xf>
    <xf numFmtId="1" fontId="0" fillId="10" borderId="20" xfId="0" applyNumberFormat="1" applyFill="1" applyBorder="1" applyAlignment="1">
      <alignment horizontal="center" vertical="center"/>
    </xf>
    <xf numFmtId="1" fontId="0" fillId="6" borderId="34" xfId="0" applyNumberFormat="1" applyFill="1" applyBorder="1" applyAlignment="1">
      <alignment horizontal="center" vertical="center"/>
    </xf>
    <xf numFmtId="1" fontId="0" fillId="6" borderId="37" xfId="0" applyNumberFormat="1" applyFill="1" applyBorder="1" applyAlignment="1">
      <alignment horizontal="center" vertical="center"/>
    </xf>
    <xf numFmtId="1" fontId="0" fillId="6" borderId="46" xfId="0" applyNumberFormat="1" applyFill="1" applyBorder="1" applyAlignment="1">
      <alignment horizontal="center" vertical="center"/>
    </xf>
    <xf numFmtId="1" fontId="0" fillId="6" borderId="49" xfId="0" applyNumberFormat="1" applyFill="1" applyBorder="1" applyAlignment="1">
      <alignment horizontal="center" vertical="center"/>
    </xf>
    <xf numFmtId="1" fontId="0" fillId="6" borderId="59" xfId="0" applyNumberFormat="1" applyFill="1" applyBorder="1" applyAlignment="1">
      <alignment horizontal="center" vertical="center"/>
    </xf>
    <xf numFmtId="1" fontId="0" fillId="6" borderId="16" xfId="0" applyNumberFormat="1" applyFill="1" applyBorder="1" applyAlignment="1">
      <alignment horizontal="center" vertical="center"/>
    </xf>
    <xf numFmtId="1" fontId="0" fillId="6" borderId="27" xfId="0" applyNumberFormat="1" applyFill="1" applyBorder="1" applyAlignment="1">
      <alignment horizontal="center" vertical="center"/>
    </xf>
    <xf numFmtId="1" fontId="0" fillId="6" borderId="39" xfId="0" applyNumberFormat="1" applyFill="1" applyBorder="1" applyAlignment="1">
      <alignment horizontal="center" vertical="center"/>
    </xf>
    <xf numFmtId="1" fontId="0" fillId="6" borderId="14" xfId="0" applyNumberFormat="1" applyFill="1" applyBorder="1" applyAlignment="1">
      <alignment horizontal="center" vertical="center"/>
    </xf>
    <xf numFmtId="1" fontId="0" fillId="6" borderId="15" xfId="0" applyNumberFormat="1" applyFill="1" applyBorder="1" applyAlignment="1">
      <alignment horizontal="center" vertical="center"/>
    </xf>
    <xf numFmtId="1" fontId="0" fillId="6" borderId="17" xfId="0" applyNumberFormat="1" applyFill="1" applyBorder="1" applyAlignment="1">
      <alignment horizontal="center" vertical="center"/>
    </xf>
    <xf numFmtId="1" fontId="0" fillId="6" borderId="26" xfId="0" applyNumberFormat="1" applyFill="1" applyBorder="1" applyAlignment="1">
      <alignment horizontal="center" vertical="center"/>
    </xf>
    <xf numFmtId="1" fontId="0" fillId="6" borderId="24" xfId="0" applyNumberFormat="1" applyFill="1" applyBorder="1" applyAlignment="1">
      <alignment horizontal="center" vertical="center"/>
    </xf>
    <xf numFmtId="1" fontId="0" fillId="6" borderId="21" xfId="0" applyNumberFormat="1" applyFill="1" applyBorder="1" applyAlignment="1">
      <alignment horizontal="center" vertical="center"/>
    </xf>
    <xf numFmtId="1" fontId="0" fillId="6" borderId="61" xfId="0" applyNumberFormat="1" applyFill="1" applyBorder="1" applyAlignment="1">
      <alignment horizontal="center" vertical="center"/>
    </xf>
    <xf numFmtId="1" fontId="0" fillId="6" borderId="60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" fontId="0" fillId="10" borderId="4" xfId="0" applyNumberFormat="1" applyFill="1" applyBorder="1" applyAlignment="1">
      <alignment horizontal="center" vertical="center"/>
    </xf>
    <xf numFmtId="1" fontId="0" fillId="10" borderId="87" xfId="0" applyNumberFormat="1" applyFill="1" applyBorder="1" applyAlignment="1">
      <alignment horizontal="center" vertical="center"/>
    </xf>
    <xf numFmtId="1" fontId="0" fillId="10" borderId="66" xfId="0" applyNumberFormat="1" applyFill="1" applyBorder="1" applyAlignment="1">
      <alignment horizontal="center" vertical="center"/>
    </xf>
    <xf numFmtId="1" fontId="0" fillId="10" borderId="48" xfId="0" applyNumberFormat="1" applyFill="1" applyBorder="1" applyAlignment="1">
      <alignment horizontal="center" vertical="center"/>
    </xf>
    <xf numFmtId="1" fontId="0" fillId="10" borderId="25" xfId="0" applyNumberFormat="1" applyFill="1" applyBorder="1" applyAlignment="1">
      <alignment horizontal="center" vertical="center"/>
    </xf>
    <xf numFmtId="1" fontId="0" fillId="10" borderId="57" xfId="0" applyNumberFormat="1" applyFill="1" applyBorder="1" applyAlignment="1">
      <alignment horizontal="center" vertical="center"/>
    </xf>
    <xf numFmtId="1" fontId="0" fillId="8" borderId="25" xfId="0" applyNumberFormat="1" applyFill="1" applyBorder="1" applyAlignment="1">
      <alignment horizontal="center" vertical="center"/>
    </xf>
    <xf numFmtId="1" fontId="0" fillId="8" borderId="4" xfId="0" applyNumberFormat="1" applyFill="1" applyBorder="1" applyAlignment="1">
      <alignment horizontal="center" vertical="center"/>
    </xf>
    <xf numFmtId="1" fontId="0" fillId="8" borderId="20" xfId="0" applyNumberFormat="1" applyFill="1" applyBorder="1" applyAlignment="1">
      <alignment horizontal="center" vertical="center"/>
    </xf>
    <xf numFmtId="1" fontId="0" fillId="8" borderId="6" xfId="0" applyNumberFormat="1" applyFill="1" applyBorder="1" applyAlignment="1">
      <alignment horizontal="center" vertical="center"/>
    </xf>
    <xf numFmtId="1" fontId="0" fillId="8" borderId="57" xfId="0" applyNumberFormat="1" applyFill="1" applyBorder="1" applyAlignment="1">
      <alignment horizontal="center" vertical="center"/>
    </xf>
    <xf numFmtId="1" fontId="0" fillId="8" borderId="48" xfId="0" applyNumberFormat="1" applyFill="1" applyBorder="1" applyAlignment="1">
      <alignment horizontal="center" vertical="center"/>
    </xf>
    <xf numFmtId="1" fontId="0" fillId="8" borderId="12" xfId="0" applyNumberFormat="1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1" fontId="0" fillId="8" borderId="59" xfId="0" applyNumberFormat="1" applyFill="1" applyBorder="1" applyAlignment="1">
      <alignment horizontal="center" vertical="center"/>
    </xf>
    <xf numFmtId="1" fontId="0" fillId="8" borderId="88" xfId="0" applyNumberFormat="1" applyFill="1" applyBorder="1" applyAlignment="1">
      <alignment horizontal="center" vertical="center"/>
    </xf>
    <xf numFmtId="1" fontId="0" fillId="8" borderId="14" xfId="0" applyNumberFormat="1" applyFill="1" applyBorder="1" applyAlignment="1">
      <alignment horizontal="center" vertical="center"/>
    </xf>
    <xf numFmtId="1" fontId="0" fillId="8" borderId="29" xfId="0" applyNumberFormat="1" applyFill="1" applyBorder="1" applyAlignment="1">
      <alignment horizontal="center" vertical="center"/>
    </xf>
    <xf numFmtId="1" fontId="0" fillId="8" borderId="16" xfId="0" applyNumberFormat="1" applyFill="1" applyBorder="1" applyAlignment="1">
      <alignment horizontal="center" vertical="center"/>
    </xf>
    <xf numFmtId="1" fontId="0" fillId="8" borderId="89" xfId="0" applyNumberFormat="1" applyFill="1" applyBorder="1" applyAlignment="1">
      <alignment horizontal="center" vertical="center"/>
    </xf>
    <xf numFmtId="1" fontId="0" fillId="8" borderId="28" xfId="0" applyNumberFormat="1" applyFill="1" applyBorder="1" applyAlignment="1">
      <alignment horizontal="center" vertical="center"/>
    </xf>
    <xf numFmtId="1" fontId="0" fillId="8" borderId="15" xfId="0" applyNumberFormat="1" applyFill="1" applyBorder="1" applyAlignment="1">
      <alignment horizontal="center" vertical="center"/>
    </xf>
    <xf numFmtId="1" fontId="0" fillId="8" borderId="55" xfId="0" applyNumberFormat="1" applyFill="1" applyBorder="1" applyAlignment="1">
      <alignment horizontal="center" vertical="center"/>
    </xf>
    <xf numFmtId="1" fontId="0" fillId="8" borderId="17" xfId="0" applyNumberFormat="1" applyFill="1" applyBorder="1" applyAlignment="1">
      <alignment horizontal="center" vertical="center"/>
    </xf>
    <xf numFmtId="1" fontId="0" fillId="6" borderId="91" xfId="0" applyNumberFormat="1" applyFill="1" applyBorder="1" applyAlignment="1">
      <alignment horizontal="center" vertical="center"/>
    </xf>
    <xf numFmtId="1" fontId="0" fillId="6" borderId="25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57" xfId="0" applyNumberFormat="1" applyFill="1" applyBorder="1" applyAlignment="1">
      <alignment horizontal="center" vertical="center"/>
    </xf>
    <xf numFmtId="1" fontId="0" fillId="6" borderId="50" xfId="0" applyNumberFormat="1" applyFill="1" applyBorder="1" applyAlignment="1">
      <alignment horizontal="center" vertical="center"/>
    </xf>
    <xf numFmtId="1" fontId="0" fillId="6" borderId="48" xfId="0" applyNumberFormat="1" applyFill="1" applyBorder="1" applyAlignment="1">
      <alignment horizontal="center" vertical="center"/>
    </xf>
    <xf numFmtId="1" fontId="0" fillId="6" borderId="90" xfId="0" applyNumberFormat="1" applyFill="1" applyBorder="1" applyAlignment="1">
      <alignment horizontal="center" vertical="center"/>
    </xf>
    <xf numFmtId="1" fontId="0" fillId="7" borderId="46" xfId="0" applyNumberFormat="1" applyFill="1" applyBorder="1" applyAlignment="1">
      <alignment horizontal="center" vertical="center"/>
    </xf>
    <xf numFmtId="1" fontId="0" fillId="7" borderId="49" xfId="0" applyNumberFormat="1" applyFill="1" applyBorder="1" applyAlignment="1">
      <alignment horizontal="center" vertical="center"/>
    </xf>
    <xf numFmtId="1" fontId="0" fillId="7" borderId="59" xfId="0" applyNumberFormat="1" applyFill="1" applyBorder="1" applyAlignment="1">
      <alignment horizontal="center" vertical="center"/>
    </xf>
    <xf numFmtId="1" fontId="0" fillId="7" borderId="16" xfId="0" applyNumberFormat="1" applyFill="1" applyBorder="1" applyAlignment="1">
      <alignment horizontal="center" vertical="center"/>
    </xf>
    <xf numFmtId="1" fontId="0" fillId="7" borderId="27" xfId="0" applyNumberFormat="1" applyFill="1" applyBorder="1" applyAlignment="1">
      <alignment horizontal="center" vertical="center"/>
    </xf>
    <xf numFmtId="1" fontId="0" fillId="7" borderId="39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26" xfId="0" applyNumberFormat="1" applyFill="1" applyBorder="1" applyAlignment="1">
      <alignment horizontal="center" vertical="center"/>
    </xf>
    <xf numFmtId="1" fontId="0" fillId="7" borderId="61" xfId="0" applyNumberFormat="1" applyFill="1" applyBorder="1" applyAlignment="1">
      <alignment horizontal="center" vertical="center"/>
    </xf>
    <xf numFmtId="1" fontId="0" fillId="7" borderId="60" xfId="0" applyNumberFormat="1" applyFill="1" applyBorder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" fontId="0" fillId="11" borderId="27" xfId="0" applyNumberFormat="1" applyFill="1" applyBorder="1" applyAlignment="1">
      <alignment horizontal="center" vertical="center"/>
    </xf>
    <xf numFmtId="1" fontId="0" fillId="11" borderId="17" xfId="0" applyNumberFormat="1" applyFill="1" applyBorder="1" applyAlignment="1">
      <alignment horizontal="center" vertical="center"/>
    </xf>
    <xf numFmtId="1" fontId="0" fillId="11" borderId="26" xfId="0" applyNumberFormat="1" applyFill="1" applyBorder="1" applyAlignment="1">
      <alignment horizontal="center" vertical="center"/>
    </xf>
    <xf numFmtId="1" fontId="0" fillId="11" borderId="15" xfId="0" applyNumberFormat="1" applyFill="1" applyBorder="1" applyAlignment="1">
      <alignment horizontal="center" vertical="center"/>
    </xf>
    <xf numFmtId="1" fontId="0" fillId="11" borderId="14" xfId="0" applyNumberFormat="1" applyFill="1" applyBorder="1" applyAlignment="1">
      <alignment horizontal="center" vertical="center"/>
    </xf>
    <xf numFmtId="1" fontId="0" fillId="11" borderId="16" xfId="0" applyNumberFormat="1" applyFill="1" applyBorder="1" applyAlignment="1">
      <alignment horizontal="center" vertical="center"/>
    </xf>
    <xf numFmtId="1" fontId="0" fillId="7" borderId="25" xfId="0" applyNumberFormat="1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20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1" fontId="0" fillId="11" borderId="87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" fontId="0" fillId="11" borderId="4" xfId="0" applyNumberFormat="1" applyFill="1" applyBorder="1" applyAlignment="1">
      <alignment horizontal="center"/>
    </xf>
    <xf numFmtId="1" fontId="0" fillId="11" borderId="93" xfId="0" applyNumberFormat="1" applyFill="1" applyBorder="1" applyAlignment="1">
      <alignment horizontal="center"/>
    </xf>
    <xf numFmtId="1" fontId="0" fillId="11" borderId="2" xfId="0" applyNumberFormat="1" applyFill="1" applyBorder="1" applyAlignment="1">
      <alignment horizontal="center"/>
    </xf>
    <xf numFmtId="1" fontId="0" fillId="11" borderId="6" xfId="0" applyNumberFormat="1" applyFill="1" applyBorder="1" applyAlignment="1">
      <alignment horizontal="center"/>
    </xf>
    <xf numFmtId="1" fontId="0" fillId="7" borderId="36" xfId="0" applyNumberFormat="1" applyFill="1" applyBorder="1" applyAlignment="1">
      <alignment horizontal="center"/>
    </xf>
    <xf numFmtId="1" fontId="0" fillId="7" borderId="35" xfId="0" applyNumberFormat="1" applyFill="1" applyBorder="1" applyAlignment="1">
      <alignment horizontal="center"/>
    </xf>
    <xf numFmtId="1" fontId="0" fillId="11" borderId="29" xfId="0" applyNumberFormat="1" applyFill="1" applyBorder="1" applyAlignment="1">
      <alignment horizontal="center" vertical="center"/>
    </xf>
    <xf numFmtId="1" fontId="0" fillId="11" borderId="10" xfId="0" applyNumberFormat="1" applyFill="1" applyBorder="1" applyAlignment="1">
      <alignment horizontal="center" vertical="center"/>
    </xf>
    <xf numFmtId="1" fontId="0" fillId="11" borderId="2" xfId="0" applyNumberFormat="1" applyFill="1" applyBorder="1" applyAlignment="1">
      <alignment horizontal="center" vertical="center"/>
    </xf>
    <xf numFmtId="1" fontId="0" fillId="11" borderId="6" xfId="0" applyNumberFormat="1" applyFill="1" applyBorder="1" applyAlignment="1">
      <alignment horizontal="center" vertical="center"/>
    </xf>
    <xf numFmtId="1" fontId="0" fillId="11" borderId="54" xfId="0" applyNumberFormat="1" applyFill="1" applyBorder="1" applyAlignment="1">
      <alignment horizontal="center"/>
    </xf>
    <xf numFmtId="1" fontId="0" fillId="11" borderId="53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 vertical="center"/>
    </xf>
    <xf numFmtId="1" fontId="0" fillId="7" borderId="29" xfId="0" applyNumberFormat="1" applyFill="1" applyBorder="1" applyAlignment="1">
      <alignment horizontal="center" vertical="center"/>
    </xf>
    <xf numFmtId="1" fontId="0" fillId="7" borderId="20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37" xfId="0" applyNumberFormat="1" applyFill="1" applyBorder="1" applyAlignment="1">
      <alignment horizontal="center" vertical="center"/>
    </xf>
    <xf numFmtId="1" fontId="0" fillId="11" borderId="66" xfId="0" applyNumberFormat="1" applyFill="1" applyBorder="1" applyAlignment="1">
      <alignment horizontal="center"/>
    </xf>
    <xf numFmtId="1" fontId="0" fillId="11" borderId="50" xfId="0" applyNumberFormat="1" applyFill="1" applyBorder="1" applyAlignment="1">
      <alignment horizontal="center"/>
    </xf>
    <xf numFmtId="1" fontId="0" fillId="11" borderId="58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 vertical="center"/>
    </xf>
    <xf numFmtId="1" fontId="0" fillId="11" borderId="92" xfId="0" applyNumberFormat="1" applyFill="1" applyBorder="1" applyAlignment="1">
      <alignment horizontal="center" vertical="center"/>
    </xf>
    <xf numFmtId="1" fontId="0" fillId="11" borderId="51" xfId="0" applyNumberForma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64" xfId="0" applyNumberFormat="1" applyFill="1" applyBorder="1" applyAlignment="1">
      <alignment horizontal="center" vertical="center"/>
    </xf>
    <xf numFmtId="1" fontId="0" fillId="11" borderId="93" xfId="0" applyNumberFormat="1" applyFill="1" applyBorder="1" applyAlignment="1">
      <alignment horizontal="center" vertical="center"/>
    </xf>
    <xf numFmtId="1" fontId="0" fillId="11" borderId="53" xfId="0" applyNumberFormat="1" applyFill="1" applyBorder="1" applyAlignment="1">
      <alignment horizontal="center" vertical="center"/>
    </xf>
    <xf numFmtId="1" fontId="5" fillId="12" borderId="0" xfId="0" applyNumberFormat="1" applyFont="1" applyFill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11" borderId="48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F4F4F"/>
      <color rgb="FF00FF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</xdr:row>
          <xdr:rowOff>15240</xdr:rowOff>
        </xdr:from>
        <xdr:to>
          <xdr:col>9</xdr:col>
          <xdr:colOff>967740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5</xdr:row>
          <xdr:rowOff>15240</xdr:rowOff>
        </xdr:from>
        <xdr:to>
          <xdr:col>9</xdr:col>
          <xdr:colOff>967740</xdr:colOff>
          <xdr:row>6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Constituição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15240</xdr:rowOff>
        </xdr:from>
        <xdr:to>
          <xdr:col>9</xdr:col>
          <xdr:colOff>967740</xdr:colOff>
          <xdr:row>8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Tamanho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9</xdr:row>
          <xdr:rowOff>15240</xdr:rowOff>
        </xdr:from>
        <xdr:to>
          <xdr:col>9</xdr:col>
          <xdr:colOff>967740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Destreza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9</xdr:row>
          <xdr:rowOff>15240</xdr:rowOff>
        </xdr:from>
        <xdr:to>
          <xdr:col>13</xdr:col>
          <xdr:colOff>594360</xdr:colOff>
          <xdr:row>10</xdr:row>
          <xdr:rowOff>175260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Educação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7</xdr:row>
          <xdr:rowOff>22860</xdr:rowOff>
        </xdr:from>
        <xdr:to>
          <xdr:col>13</xdr:col>
          <xdr:colOff>601980</xdr:colOff>
          <xdr:row>8</xdr:row>
          <xdr:rowOff>175260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5</xdr:row>
          <xdr:rowOff>15240</xdr:rowOff>
        </xdr:from>
        <xdr:to>
          <xdr:col>13</xdr:col>
          <xdr:colOff>594360</xdr:colOff>
          <xdr:row>6</xdr:row>
          <xdr:rowOff>175260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Inteligência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601980</xdr:colOff>
          <xdr:row>22</xdr:row>
          <xdr:rowOff>22860</xdr:rowOff>
        </xdr:from>
        <xdr:to>
          <xdr:col>17</xdr:col>
          <xdr:colOff>525780</xdr:colOff>
          <xdr:row>23</xdr:row>
          <xdr:rowOff>220980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Rolar dado de perícia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594360</xdr:colOff>
          <xdr:row>24</xdr:row>
          <xdr:rowOff>76200</xdr:rowOff>
        </xdr:from>
        <xdr:to>
          <xdr:col>17</xdr:col>
          <xdr:colOff>518160</xdr:colOff>
          <xdr:row>25</xdr:row>
          <xdr:rowOff>289560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Rolar dado avulso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3</xdr:row>
          <xdr:rowOff>15240</xdr:rowOff>
        </xdr:from>
        <xdr:to>
          <xdr:col>13</xdr:col>
          <xdr:colOff>586740</xdr:colOff>
          <xdr:row>4</xdr:row>
          <xdr:rowOff>175260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Aparência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14</xdr:row>
          <xdr:rowOff>15240</xdr:rowOff>
        </xdr:from>
        <xdr:to>
          <xdr:col>8</xdr:col>
          <xdr:colOff>594360</xdr:colOff>
          <xdr:row>15</xdr:row>
          <xdr:rowOff>175260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Experiência: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182880</xdr:colOff>
          <xdr:row>6</xdr:row>
          <xdr:rowOff>83820</xdr:rowOff>
        </xdr:from>
        <xdr:to>
          <xdr:col>19</xdr:col>
          <xdr:colOff>3810</xdr:colOff>
          <xdr:row>8</xdr:row>
          <xdr:rowOff>99060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Adicionar/Remover Vida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9</xdr:row>
          <xdr:rowOff>7620</xdr:rowOff>
        </xdr:from>
        <xdr:to>
          <xdr:col>19</xdr:col>
          <xdr:colOff>1905</xdr:colOff>
          <xdr:row>12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Adicionar/Remover Sanidade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12</xdr:row>
          <xdr:rowOff>91440</xdr:rowOff>
        </xdr:from>
        <xdr:to>
          <xdr:col>19</xdr:col>
          <xdr:colOff>1905</xdr:colOff>
          <xdr:row>15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Adicionar/Remover Pontos de alquimia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19</xdr:row>
          <xdr:rowOff>335280</xdr:rowOff>
        </xdr:from>
        <xdr:to>
          <xdr:col>17</xdr:col>
          <xdr:colOff>891540</xdr:colOff>
          <xdr:row>21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Adicionar/Remover Pontos de Perícias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D1:AF111"/>
  <sheetViews>
    <sheetView tabSelected="1" topLeftCell="A24" zoomScale="85" zoomScaleNormal="85" workbookViewId="0">
      <selection activeCell="E32" sqref="E32"/>
    </sheetView>
  </sheetViews>
  <sheetFormatPr defaultColWidth="8.85546875" defaultRowHeight="14.45"/>
  <cols>
    <col min="1" max="3" width="8.85546875" style="1"/>
    <col min="4" max="4" width="13.28515625" style="1" customWidth="1"/>
    <col min="5" max="5" width="8.85546875" style="1"/>
    <col min="6" max="6" width="10.140625" style="1" bestFit="1" customWidth="1"/>
    <col min="7" max="7" width="16.85546875" style="1" bestFit="1" customWidth="1"/>
    <col min="8" max="8" width="11" style="1" bestFit="1" customWidth="1"/>
    <col min="9" max="9" width="8.85546875" style="1"/>
    <col min="10" max="10" width="14.28515625" style="1" bestFit="1" customWidth="1"/>
    <col min="11" max="12" width="8.85546875" style="1"/>
    <col min="13" max="13" width="13.7109375" style="1" customWidth="1"/>
    <col min="14" max="17" width="8.85546875" style="1"/>
    <col min="18" max="18" width="15.85546875" style="1" customWidth="1"/>
    <col min="19" max="16384" width="8.85546875" style="1"/>
  </cols>
  <sheetData>
    <row r="1" spans="4:32" ht="15" thickBot="1"/>
    <row r="2" spans="4:32" ht="23.45" customHeight="1" thickTop="1">
      <c r="D2" s="93" t="s">
        <v>0</v>
      </c>
      <c r="E2" s="94"/>
      <c r="F2" s="94"/>
      <c r="G2" s="94"/>
      <c r="H2" s="95"/>
      <c r="I2" s="121" t="s">
        <v>1</v>
      </c>
      <c r="J2" s="122"/>
      <c r="K2" s="122"/>
      <c r="L2" s="122"/>
      <c r="M2" s="122"/>
      <c r="N2" s="122"/>
      <c r="O2" s="122"/>
      <c r="P2" s="123"/>
    </row>
    <row r="3" spans="4:32" ht="23.45" customHeight="1" thickBot="1">
      <c r="D3" s="96"/>
      <c r="E3" s="97"/>
      <c r="F3" s="97"/>
      <c r="G3" s="97"/>
      <c r="H3" s="98"/>
      <c r="I3" s="124"/>
      <c r="J3" s="125"/>
      <c r="K3" s="125"/>
      <c r="L3" s="125"/>
      <c r="M3" s="125"/>
      <c r="N3" s="125"/>
      <c r="O3" s="125"/>
      <c r="P3" s="126"/>
    </row>
    <row r="4" spans="4:32" ht="15" thickTop="1">
      <c r="D4" s="106" t="s">
        <v>2</v>
      </c>
      <c r="E4" s="108"/>
      <c r="F4" s="109"/>
      <c r="G4" s="109"/>
      <c r="H4" s="110"/>
      <c r="I4" s="66" t="s">
        <v>3</v>
      </c>
      <c r="J4" s="67"/>
      <c r="K4" s="133">
        <v>5</v>
      </c>
      <c r="L4" s="134"/>
      <c r="M4" s="66" t="s">
        <v>4</v>
      </c>
      <c r="N4" s="67"/>
      <c r="O4" s="133">
        <v>5</v>
      </c>
      <c r="P4" s="136"/>
    </row>
    <row r="5" spans="4:32" ht="15" thickBot="1">
      <c r="D5" s="107"/>
      <c r="E5" s="111"/>
      <c r="F5" s="112"/>
      <c r="G5" s="112"/>
      <c r="H5" s="113"/>
      <c r="I5" s="64"/>
      <c r="J5" s="65"/>
      <c r="K5" s="129"/>
      <c r="L5" s="130"/>
      <c r="M5" s="64"/>
      <c r="N5" s="65"/>
      <c r="O5" s="129"/>
      <c r="P5" s="137"/>
    </row>
    <row r="6" spans="4:32">
      <c r="D6" s="114" t="s">
        <v>5</v>
      </c>
      <c r="E6" s="115"/>
      <c r="F6" s="116"/>
      <c r="G6" s="116"/>
      <c r="H6" s="117"/>
      <c r="I6" s="64" t="s">
        <v>6</v>
      </c>
      <c r="J6" s="65"/>
      <c r="K6" s="129">
        <v>5</v>
      </c>
      <c r="L6" s="130"/>
      <c r="M6" s="64" t="s">
        <v>7</v>
      </c>
      <c r="N6" s="65"/>
      <c r="O6" s="129">
        <v>8</v>
      </c>
      <c r="P6" s="137"/>
    </row>
    <row r="7" spans="4:32" ht="15" thickBot="1">
      <c r="D7" s="107"/>
      <c r="E7" s="118"/>
      <c r="F7" s="119"/>
      <c r="G7" s="119"/>
      <c r="H7" s="120"/>
      <c r="I7" s="64"/>
      <c r="J7" s="65"/>
      <c r="K7" s="129"/>
      <c r="L7" s="130"/>
      <c r="M7" s="64"/>
      <c r="N7" s="65"/>
      <c r="O7" s="129"/>
      <c r="P7" s="137"/>
    </row>
    <row r="8" spans="4:32" ht="15" thickBot="1">
      <c r="D8" s="2" t="s">
        <v>8</v>
      </c>
      <c r="E8" s="99"/>
      <c r="F8" s="100"/>
      <c r="G8" s="3" t="s">
        <v>9</v>
      </c>
      <c r="H8" s="30"/>
      <c r="I8" s="64" t="s">
        <v>10</v>
      </c>
      <c r="J8" s="65"/>
      <c r="K8" s="129">
        <v>8</v>
      </c>
      <c r="L8" s="130"/>
      <c r="M8" s="64"/>
      <c r="N8" s="65"/>
      <c r="O8" s="129">
        <v>5</v>
      </c>
      <c r="P8" s="137"/>
      <c r="AF8" s="1">
        <v>11.5</v>
      </c>
    </row>
    <row r="9" spans="4:32" ht="15" thickBot="1">
      <c r="D9" s="2" t="s">
        <v>11</v>
      </c>
      <c r="E9" s="2"/>
      <c r="F9" s="4" t="s">
        <v>12</v>
      </c>
      <c r="G9" s="99"/>
      <c r="H9" s="100"/>
      <c r="I9" s="64"/>
      <c r="J9" s="65"/>
      <c r="K9" s="129"/>
      <c r="L9" s="130"/>
      <c r="M9" s="64"/>
      <c r="N9" s="65"/>
      <c r="O9" s="129"/>
      <c r="P9" s="137"/>
    </row>
    <row r="10" spans="4:32">
      <c r="D10" s="114" t="s">
        <v>13</v>
      </c>
      <c r="E10" s="115" t="s">
        <v>14</v>
      </c>
      <c r="F10" s="116"/>
      <c r="G10" s="116"/>
      <c r="H10" s="117"/>
      <c r="I10" s="64" t="s">
        <v>15</v>
      </c>
      <c r="J10" s="65"/>
      <c r="K10" s="129">
        <v>5</v>
      </c>
      <c r="L10" s="130"/>
      <c r="M10" s="64" t="s">
        <v>16</v>
      </c>
      <c r="N10" s="65"/>
      <c r="O10" s="129">
        <v>6</v>
      </c>
      <c r="P10" s="137"/>
    </row>
    <row r="11" spans="4:32" ht="15" thickBot="1">
      <c r="D11" s="107"/>
      <c r="E11" s="118"/>
      <c r="F11" s="119"/>
      <c r="G11" s="119"/>
      <c r="H11" s="120"/>
      <c r="I11" s="127"/>
      <c r="J11" s="128"/>
      <c r="K11" s="131"/>
      <c r="L11" s="132"/>
      <c r="M11" s="127"/>
      <c r="N11" s="135"/>
      <c r="O11" s="131"/>
      <c r="P11" s="138"/>
    </row>
    <row r="12" spans="4:32" ht="15.6" thickTop="1" thickBot="1">
      <c r="D12" s="29" t="s">
        <v>17</v>
      </c>
      <c r="E12" s="5"/>
      <c r="F12" s="28" t="s">
        <v>18</v>
      </c>
      <c r="G12" s="5"/>
      <c r="H12" s="5" t="s">
        <v>19</v>
      </c>
      <c r="I12" s="6"/>
      <c r="J12" s="7" t="s">
        <v>20</v>
      </c>
      <c r="K12" s="80"/>
      <c r="L12" s="81"/>
      <c r="M12" s="72" t="s">
        <v>21</v>
      </c>
      <c r="N12" s="73"/>
      <c r="O12" s="156" cm="1">
        <f t="array" ref="O12">IF(AND(K4,K10)&lt;K8,7,IF(OR(K4,K10)&gt;=K8,8,IF(AND(K4,K10)&gt;=K8,9,Erro)))</f>
        <v>8</v>
      </c>
      <c r="P12" s="157"/>
    </row>
    <row r="13" spans="4:32" ht="15" thickTop="1">
      <c r="D13" s="101" t="s">
        <v>22</v>
      </c>
      <c r="E13" s="88"/>
      <c r="F13" s="82">
        <f>(K8+K6)/2</f>
        <v>6.5</v>
      </c>
      <c r="G13" s="92"/>
      <c r="H13" s="102" t="s">
        <v>23</v>
      </c>
      <c r="I13" s="103"/>
      <c r="J13" s="82">
        <f>O8*5</f>
        <v>25</v>
      </c>
      <c r="K13" s="83"/>
      <c r="L13" s="86" t="s">
        <v>24</v>
      </c>
      <c r="M13" s="87"/>
      <c r="N13" s="88"/>
      <c r="O13" s="82">
        <f>O8</f>
        <v>5</v>
      </c>
      <c r="P13" s="92"/>
    </row>
    <row r="14" spans="4:32" ht="15" thickBot="1">
      <c r="D14" s="89"/>
      <c r="E14" s="91"/>
      <c r="F14" s="84"/>
      <c r="G14" s="85"/>
      <c r="H14" s="104"/>
      <c r="I14" s="105"/>
      <c r="J14" s="84"/>
      <c r="K14" s="85"/>
      <c r="L14" s="89"/>
      <c r="M14" s="90"/>
      <c r="N14" s="91"/>
      <c r="O14" s="84"/>
      <c r="P14" s="85"/>
    </row>
    <row r="15" spans="4:32" ht="15" thickTop="1">
      <c r="D15" s="101" t="s">
        <v>25</v>
      </c>
      <c r="E15" s="88"/>
      <c r="F15" s="82"/>
      <c r="G15" s="92"/>
      <c r="H15" s="102" t="s">
        <v>26</v>
      </c>
      <c r="I15" s="103"/>
      <c r="J15" s="82">
        <v>10</v>
      </c>
      <c r="K15" s="92"/>
      <c r="L15" s="101" t="s">
        <v>27</v>
      </c>
      <c r="M15" s="87"/>
      <c r="N15" s="88"/>
      <c r="O15" s="82"/>
      <c r="P15" s="92"/>
    </row>
    <row r="16" spans="4:32" ht="15" thickBot="1">
      <c r="D16" s="89"/>
      <c r="E16" s="91"/>
      <c r="F16" s="84"/>
      <c r="G16" s="85"/>
      <c r="H16" s="104"/>
      <c r="I16" s="105"/>
      <c r="J16" s="84"/>
      <c r="K16" s="85"/>
      <c r="L16" s="89"/>
      <c r="M16" s="90"/>
      <c r="N16" s="91"/>
      <c r="O16" s="84"/>
      <c r="P16" s="85"/>
    </row>
    <row r="17" spans="4:23" ht="15" thickTop="1">
      <c r="D17" s="144" t="s">
        <v>28</v>
      </c>
      <c r="E17" s="145"/>
      <c r="F17" s="145"/>
      <c r="G17" s="145"/>
      <c r="H17" s="145"/>
      <c r="I17" s="145"/>
      <c r="J17" s="145"/>
      <c r="K17" s="145"/>
      <c r="L17" s="146"/>
      <c r="M17" s="146"/>
      <c r="N17" s="146"/>
      <c r="O17" s="147"/>
      <c r="P17" s="8"/>
      <c r="Q17" s="70"/>
      <c r="R17" s="70"/>
    </row>
    <row r="18" spans="4:23" ht="15" thickBot="1">
      <c r="D18" s="148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50"/>
      <c r="P18" s="8"/>
      <c r="Q18" s="71"/>
      <c r="R18" s="71"/>
    </row>
    <row r="19" spans="4:23" ht="30" thickTop="1" thickBot="1">
      <c r="D19" s="9" t="s">
        <v>29</v>
      </c>
      <c r="E19" s="10">
        <v>1</v>
      </c>
      <c r="F19" s="11"/>
      <c r="G19" s="9" t="s">
        <v>30</v>
      </c>
      <c r="H19" s="10">
        <v>1</v>
      </c>
      <c r="I19" s="11"/>
      <c r="J19" s="12" t="s">
        <v>31</v>
      </c>
      <c r="K19" s="10">
        <v>3</v>
      </c>
      <c r="L19" s="11"/>
      <c r="M19" s="9" t="s">
        <v>32</v>
      </c>
      <c r="N19" s="10">
        <v>1</v>
      </c>
      <c r="O19" s="13"/>
      <c r="P19" s="27"/>
      <c r="Q19" s="68"/>
      <c r="R19" s="69"/>
      <c r="S19" s="26"/>
    </row>
    <row r="20" spans="4:23" ht="27.6" customHeight="1" thickBot="1">
      <c r="D20" s="14" t="s">
        <v>33</v>
      </c>
      <c r="E20" s="15">
        <v>5</v>
      </c>
      <c r="F20" s="16"/>
      <c r="G20" s="14" t="s">
        <v>34</v>
      </c>
      <c r="H20" s="15">
        <v>5</v>
      </c>
      <c r="I20" s="16"/>
      <c r="J20" s="14" t="s">
        <v>35</v>
      </c>
      <c r="K20" s="15">
        <f>O10</f>
        <v>6</v>
      </c>
      <c r="L20" s="16"/>
      <c r="M20" s="14" t="s">
        <v>36</v>
      </c>
      <c r="N20" s="15">
        <v>1</v>
      </c>
      <c r="O20" s="17"/>
      <c r="P20" s="27"/>
    </row>
    <row r="21" spans="4:23" ht="29.45" thickBot="1">
      <c r="D21" s="14" t="s">
        <v>37</v>
      </c>
      <c r="E21" s="15">
        <v>1</v>
      </c>
      <c r="F21" s="16"/>
      <c r="G21" s="14" t="s">
        <v>38</v>
      </c>
      <c r="H21" s="15">
        <v>1</v>
      </c>
      <c r="I21" s="16"/>
      <c r="J21" s="14" t="s">
        <v>39</v>
      </c>
      <c r="K21" s="15">
        <v>1</v>
      </c>
      <c r="L21" s="16"/>
      <c r="M21" s="14" t="s">
        <v>40</v>
      </c>
      <c r="N21" s="15">
        <v>1</v>
      </c>
      <c r="O21" s="17"/>
      <c r="P21" s="27"/>
    </row>
    <row r="22" spans="4:23" ht="27" customHeight="1" thickBot="1">
      <c r="D22" s="14" t="s">
        <v>41</v>
      </c>
      <c r="E22" s="15">
        <v>1</v>
      </c>
      <c r="F22" s="16"/>
      <c r="G22" s="14" t="s">
        <v>42</v>
      </c>
      <c r="H22" s="15">
        <v>3</v>
      </c>
      <c r="I22" s="16"/>
      <c r="J22" s="14" t="s">
        <v>43</v>
      </c>
      <c r="K22" s="15">
        <f>K4/2</f>
        <v>2.5</v>
      </c>
      <c r="L22" s="16"/>
      <c r="M22" s="14" t="s">
        <v>44</v>
      </c>
      <c r="N22" s="15">
        <v>1</v>
      </c>
      <c r="O22" s="17"/>
      <c r="P22" s="27"/>
    </row>
    <row r="23" spans="4:23" ht="29.45" thickBot="1">
      <c r="D23" s="14" t="s">
        <v>45</v>
      </c>
      <c r="E23" s="15">
        <v>1</v>
      </c>
      <c r="F23" s="16"/>
      <c r="G23" s="14" t="s">
        <v>46</v>
      </c>
      <c r="H23" s="15">
        <v>1</v>
      </c>
      <c r="I23" s="16"/>
      <c r="J23" s="14" t="s">
        <v>47</v>
      </c>
      <c r="K23" s="15">
        <v>1</v>
      </c>
      <c r="L23" s="16"/>
      <c r="M23" s="14" t="s">
        <v>48</v>
      </c>
      <c r="N23" s="15">
        <v>1</v>
      </c>
      <c r="O23" s="17"/>
      <c r="P23" s="27"/>
    </row>
    <row r="24" spans="4:23" ht="26.45" customHeight="1" thickBot="1">
      <c r="D24" s="14" t="s">
        <v>49</v>
      </c>
      <c r="E24" s="15">
        <v>1</v>
      </c>
      <c r="F24" s="16"/>
      <c r="G24" s="14" t="s">
        <v>50</v>
      </c>
      <c r="H24" s="15">
        <v>3</v>
      </c>
      <c r="I24" s="16"/>
      <c r="J24" s="14" t="s">
        <v>51</v>
      </c>
      <c r="K24" s="15">
        <v>1</v>
      </c>
      <c r="L24" s="16"/>
      <c r="M24" s="14" t="s">
        <v>52</v>
      </c>
      <c r="N24" s="15">
        <v>3</v>
      </c>
      <c r="O24" s="17"/>
      <c r="P24" s="27"/>
      <c r="Q24" s="8"/>
    </row>
    <row r="25" spans="4:23" ht="27.6" customHeight="1" thickBot="1">
      <c r="D25" s="14" t="s">
        <v>53</v>
      </c>
      <c r="E25" s="15">
        <v>1</v>
      </c>
      <c r="F25" s="16"/>
      <c r="G25" s="14" t="s">
        <v>54</v>
      </c>
      <c r="H25" s="15">
        <v>5</v>
      </c>
      <c r="I25" s="16"/>
      <c r="J25" s="14" t="s">
        <v>55</v>
      </c>
      <c r="K25" s="15">
        <v>1</v>
      </c>
      <c r="L25" s="16"/>
      <c r="M25" s="14" t="s">
        <v>56</v>
      </c>
      <c r="N25" s="15">
        <v>1</v>
      </c>
      <c r="O25" s="17"/>
      <c r="P25" s="27"/>
      <c r="Q25" s="8"/>
    </row>
    <row r="26" spans="4:23" ht="30" customHeight="1" thickBot="1">
      <c r="D26" s="14" t="s">
        <v>57</v>
      </c>
      <c r="E26" s="15">
        <v>1</v>
      </c>
      <c r="F26" s="16"/>
      <c r="G26" s="14" t="s">
        <v>58</v>
      </c>
      <c r="H26" s="15">
        <v>5</v>
      </c>
      <c r="I26" s="16"/>
      <c r="J26" s="14" t="s">
        <v>59</v>
      </c>
      <c r="K26" s="15">
        <v>3</v>
      </c>
      <c r="L26" s="16"/>
      <c r="M26" s="14" t="s">
        <v>60</v>
      </c>
      <c r="N26" s="15">
        <v>1</v>
      </c>
      <c r="O26" s="17"/>
      <c r="P26" s="27"/>
    </row>
    <row r="27" spans="4:23" ht="29.45" thickBot="1">
      <c r="D27" s="14" t="s">
        <v>61</v>
      </c>
      <c r="E27" s="15">
        <v>1</v>
      </c>
      <c r="F27" s="16"/>
      <c r="G27" s="14" t="s">
        <v>62</v>
      </c>
      <c r="H27" s="15">
        <v>1</v>
      </c>
      <c r="I27" s="16"/>
      <c r="J27" s="14" t="s">
        <v>63</v>
      </c>
      <c r="K27" s="15">
        <v>1</v>
      </c>
      <c r="L27" s="16"/>
      <c r="M27" s="14" t="s">
        <v>64</v>
      </c>
      <c r="N27" s="15">
        <v>1</v>
      </c>
      <c r="O27" s="17"/>
      <c r="P27" s="27"/>
      <c r="Q27" s="50" t="s">
        <v>65</v>
      </c>
      <c r="R27" s="51"/>
      <c r="S27" s="51"/>
      <c r="T27" s="51"/>
      <c r="U27" s="51"/>
      <c r="V27" s="51"/>
      <c r="W27" s="52"/>
    </row>
    <row r="28" spans="4:23" ht="28.5" customHeight="1">
      <c r="D28" s="14" t="s">
        <v>66</v>
      </c>
      <c r="E28" s="15">
        <v>1</v>
      </c>
      <c r="F28" s="16"/>
      <c r="G28" s="14" t="s">
        <v>67</v>
      </c>
      <c r="H28" s="15">
        <f>K10/2</f>
        <v>2.5</v>
      </c>
      <c r="I28" s="16"/>
      <c r="J28" s="14" t="s">
        <v>68</v>
      </c>
      <c r="K28" s="15">
        <v>3</v>
      </c>
      <c r="L28" s="16"/>
      <c r="M28" s="14" t="s">
        <v>69</v>
      </c>
      <c r="N28" s="15">
        <v>1</v>
      </c>
      <c r="O28" s="17"/>
      <c r="P28" s="27"/>
      <c r="Q28" s="53"/>
      <c r="R28" s="54"/>
      <c r="S28" s="54"/>
      <c r="T28" s="54"/>
      <c r="U28" s="54"/>
      <c r="V28" s="54"/>
      <c r="W28" s="55"/>
    </row>
    <row r="29" spans="4:23" ht="28.9" customHeight="1" thickBot="1">
      <c r="D29" s="14" t="s">
        <v>70</v>
      </c>
      <c r="E29" s="15">
        <v>1</v>
      </c>
      <c r="F29" s="16"/>
      <c r="G29" s="14" t="s">
        <v>71</v>
      </c>
      <c r="H29" s="15">
        <v>3</v>
      </c>
      <c r="I29" s="16"/>
      <c r="J29" s="14" t="s">
        <v>72</v>
      </c>
      <c r="K29" s="15">
        <v>1</v>
      </c>
      <c r="L29" s="16"/>
      <c r="M29" s="14"/>
      <c r="N29" s="15"/>
      <c r="O29" s="17"/>
      <c r="P29" s="27"/>
      <c r="Q29" s="49"/>
      <c r="R29" s="49"/>
      <c r="S29" s="49"/>
      <c r="T29" s="49"/>
      <c r="U29" s="49"/>
      <c r="V29" s="49"/>
      <c r="W29" s="49"/>
    </row>
    <row r="30" spans="4:23" ht="30" customHeight="1" thickBot="1">
      <c r="D30" s="14" t="s">
        <v>73</v>
      </c>
      <c r="E30" s="15">
        <v>1</v>
      </c>
      <c r="F30" s="16"/>
      <c r="G30" s="14" t="s">
        <v>74</v>
      </c>
      <c r="H30" s="15">
        <v>1</v>
      </c>
      <c r="I30" s="16"/>
      <c r="J30" s="14" t="s">
        <v>75</v>
      </c>
      <c r="K30" s="15">
        <v>3</v>
      </c>
      <c r="L30" s="16"/>
      <c r="M30" s="14"/>
      <c r="N30" s="15"/>
      <c r="O30" s="17"/>
      <c r="P30" s="27"/>
      <c r="Q30" s="49"/>
      <c r="R30" s="49"/>
      <c r="S30" s="49"/>
      <c r="T30" s="49"/>
      <c r="U30" s="49"/>
      <c r="V30" s="49"/>
      <c r="W30" s="49"/>
    </row>
    <row r="31" spans="4:23" ht="24.6" customHeight="1" thickBot="1">
      <c r="D31" s="14" t="s">
        <v>76</v>
      </c>
      <c r="E31" s="15">
        <v>1</v>
      </c>
      <c r="F31" s="16"/>
      <c r="G31" s="14" t="s">
        <v>77</v>
      </c>
      <c r="H31" s="15">
        <v>1</v>
      </c>
      <c r="I31" s="16"/>
      <c r="J31" s="14" t="s">
        <v>78</v>
      </c>
      <c r="K31" s="15">
        <v>1</v>
      </c>
      <c r="L31" s="16"/>
      <c r="M31" s="14"/>
      <c r="N31" s="15"/>
      <c r="O31" s="17"/>
      <c r="P31" s="27"/>
      <c r="Q31" s="49"/>
      <c r="R31" s="49"/>
      <c r="S31" s="49"/>
      <c r="T31" s="49"/>
      <c r="U31" s="49"/>
      <c r="V31" s="49"/>
      <c r="W31" s="49"/>
    </row>
    <row r="32" spans="4:23" ht="24.6" customHeight="1" thickBot="1">
      <c r="D32" s="14" t="s">
        <v>79</v>
      </c>
      <c r="E32" s="15">
        <v>1</v>
      </c>
      <c r="F32" s="16"/>
      <c r="G32" s="14"/>
      <c r="H32" s="15"/>
      <c r="I32" s="16"/>
      <c r="J32" s="14" t="s">
        <v>80</v>
      </c>
      <c r="K32" s="15">
        <v>1</v>
      </c>
      <c r="L32" s="16"/>
      <c r="M32" s="14"/>
      <c r="N32" s="15"/>
      <c r="O32" s="17"/>
      <c r="P32" s="27"/>
      <c r="Q32" s="49"/>
      <c r="R32" s="49"/>
      <c r="S32" s="49"/>
      <c r="T32" s="49"/>
      <c r="U32" s="49"/>
      <c r="V32" s="49"/>
      <c r="W32" s="49"/>
    </row>
    <row r="33" spans="4:23" ht="25.15" customHeight="1" thickBot="1">
      <c r="D33" s="18" t="s">
        <v>81</v>
      </c>
      <c r="E33" s="19">
        <v>1</v>
      </c>
      <c r="F33" s="20"/>
      <c r="G33" s="18"/>
      <c r="H33" s="19"/>
      <c r="I33" s="20"/>
      <c r="J33" s="18" t="s">
        <v>82</v>
      </c>
      <c r="K33" s="19">
        <v>1</v>
      </c>
      <c r="L33" s="20"/>
      <c r="M33" s="18"/>
      <c r="N33" s="19"/>
      <c r="O33" s="21"/>
      <c r="P33" s="27"/>
      <c r="Q33" s="49"/>
      <c r="R33" s="49"/>
      <c r="S33" s="49"/>
      <c r="T33" s="49"/>
      <c r="U33" s="49"/>
      <c r="V33" s="49"/>
      <c r="W33" s="49"/>
    </row>
    <row r="34" spans="4:23" ht="25.15" customHeight="1" thickTop="1">
      <c r="D34" s="151" t="s">
        <v>83</v>
      </c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3"/>
      <c r="Q34" s="49"/>
      <c r="R34" s="49"/>
      <c r="S34" s="49"/>
      <c r="T34" s="49"/>
      <c r="U34" s="49"/>
      <c r="V34" s="49"/>
      <c r="W34" s="49"/>
    </row>
    <row r="35" spans="4:23" ht="15" thickBot="1">
      <c r="D35" s="154"/>
      <c r="E35" s="155"/>
      <c r="F35" s="155"/>
      <c r="G35" s="155"/>
      <c r="H35" s="155"/>
      <c r="I35" s="155"/>
      <c r="J35" s="155"/>
      <c r="K35" s="155"/>
      <c r="L35" s="152"/>
      <c r="M35" s="152"/>
      <c r="N35" s="152"/>
      <c r="O35" s="153"/>
      <c r="Q35" s="49"/>
      <c r="R35" s="49"/>
      <c r="S35" s="49"/>
      <c r="T35" s="49"/>
      <c r="U35" s="49"/>
      <c r="V35" s="49"/>
      <c r="W35" s="49"/>
    </row>
    <row r="36" spans="4:23" ht="15" thickTop="1">
      <c r="D36" s="141" t="s">
        <v>84</v>
      </c>
      <c r="E36" s="142"/>
      <c r="F36" s="141" t="s">
        <v>85</v>
      </c>
      <c r="G36" s="142"/>
      <c r="H36" s="141" t="s">
        <v>86</v>
      </c>
      <c r="I36" s="142"/>
      <c r="J36" s="141" t="s">
        <v>87</v>
      </c>
      <c r="K36" s="143"/>
      <c r="L36" s="31" t="s">
        <v>88</v>
      </c>
      <c r="M36" s="39"/>
      <c r="N36" s="39"/>
      <c r="O36" s="40"/>
      <c r="Q36" s="49"/>
      <c r="R36" s="49"/>
      <c r="S36" s="49"/>
      <c r="T36" s="49"/>
      <c r="U36" s="49"/>
      <c r="V36" s="49"/>
      <c r="W36" s="49"/>
    </row>
    <row r="37" spans="4:23" ht="15" thickBot="1">
      <c r="D37" s="47"/>
      <c r="E37" s="48"/>
      <c r="F37" s="47"/>
      <c r="G37" s="48"/>
      <c r="H37" s="47"/>
      <c r="I37" s="48"/>
      <c r="J37" s="47"/>
      <c r="K37" s="140"/>
      <c r="L37" s="41"/>
      <c r="M37" s="42"/>
      <c r="N37" s="43"/>
      <c r="O37" s="44"/>
      <c r="Q37" s="49"/>
      <c r="R37" s="49"/>
      <c r="S37" s="49"/>
      <c r="T37" s="49"/>
      <c r="U37" s="49"/>
      <c r="V37" s="49"/>
      <c r="W37" s="49"/>
    </row>
    <row r="38" spans="4:23" ht="14.45" customHeight="1" thickTop="1">
      <c r="D38" s="45"/>
      <c r="E38" s="46"/>
      <c r="F38" s="45"/>
      <c r="G38" s="46"/>
      <c r="H38" s="45"/>
      <c r="I38" s="46"/>
      <c r="J38" s="45"/>
      <c r="K38" s="139"/>
      <c r="L38" s="74" t="s">
        <v>89</v>
      </c>
      <c r="M38" s="75"/>
      <c r="N38" s="39" t="str">
        <f>IF(N40=1,+"1d4",IF(N40=0,0,"-1d4"))</f>
        <v>-1d4</v>
      </c>
      <c r="O38" s="77"/>
      <c r="Q38" s="49"/>
      <c r="R38" s="49"/>
      <c r="S38" s="49"/>
      <c r="T38" s="49"/>
      <c r="U38" s="49"/>
      <c r="V38" s="49"/>
      <c r="W38" s="49"/>
    </row>
    <row r="39" spans="4:23" ht="15" thickBot="1">
      <c r="D39" s="47"/>
      <c r="E39" s="48"/>
      <c r="F39" s="47"/>
      <c r="G39" s="48"/>
      <c r="H39" s="47"/>
      <c r="I39" s="48"/>
      <c r="J39" s="47"/>
      <c r="K39" s="140"/>
      <c r="L39" s="43"/>
      <c r="M39" s="76"/>
      <c r="N39" s="78"/>
      <c r="O39" s="79"/>
      <c r="Q39" s="49"/>
      <c r="R39" s="49"/>
      <c r="S39" s="49"/>
      <c r="T39" s="49"/>
      <c r="U39" s="49"/>
      <c r="V39" s="49"/>
      <c r="W39" s="49"/>
    </row>
    <row r="40" spans="4:23" ht="15" customHeight="1" thickTop="1">
      <c r="D40" s="45"/>
      <c r="E40" s="46"/>
      <c r="F40" s="45"/>
      <c r="G40" s="46"/>
      <c r="H40" s="45"/>
      <c r="I40" s="46"/>
      <c r="J40" s="45"/>
      <c r="K40" s="139"/>
      <c r="L40" s="31" t="s">
        <v>90</v>
      </c>
      <c r="M40" s="32"/>
      <c r="N40" s="35">
        <f>IF(AND((K4+K8)&gt;=13,(K4+K8)&lt;=16),-1,IF(AND((K4+K8)&gt;=17,(K4+K8)&lt;=24),0,1))</f>
        <v>-1</v>
      </c>
      <c r="O40" s="36"/>
      <c r="Q40" s="49"/>
      <c r="R40" s="49"/>
      <c r="S40" s="49"/>
      <c r="T40" s="49"/>
      <c r="U40" s="49"/>
      <c r="V40" s="49"/>
      <c r="W40" s="49"/>
    </row>
    <row r="41" spans="4:23" ht="15" thickBot="1">
      <c r="D41" s="47"/>
      <c r="E41" s="48"/>
      <c r="F41" s="47"/>
      <c r="G41" s="48"/>
      <c r="H41" s="47"/>
      <c r="I41" s="48"/>
      <c r="J41" s="47"/>
      <c r="K41" s="140"/>
      <c r="L41" s="33"/>
      <c r="M41" s="34"/>
      <c r="N41" s="37"/>
      <c r="O41" s="38"/>
      <c r="Q41" s="49"/>
      <c r="R41" s="49"/>
      <c r="S41" s="49"/>
      <c r="T41" s="49"/>
      <c r="U41" s="49"/>
      <c r="V41" s="49"/>
      <c r="W41" s="49"/>
    </row>
    <row r="42" spans="4:23" ht="15" thickTop="1">
      <c r="D42" s="56"/>
      <c r="E42" s="62"/>
      <c r="F42" s="56"/>
      <c r="G42" s="62"/>
      <c r="H42" s="56"/>
      <c r="I42" s="62"/>
      <c r="J42" s="56"/>
      <c r="K42" s="57"/>
      <c r="L42" s="158" t="s">
        <v>91</v>
      </c>
      <c r="M42" s="158"/>
      <c r="N42" s="158"/>
      <c r="O42" s="159"/>
      <c r="Q42" s="49"/>
      <c r="R42" s="49"/>
      <c r="S42" s="49"/>
      <c r="T42" s="49"/>
      <c r="U42" s="49"/>
      <c r="V42" s="49"/>
      <c r="W42" s="49"/>
    </row>
    <row r="43" spans="4:23" ht="15" thickBot="1">
      <c r="D43" s="58"/>
      <c r="E43" s="175"/>
      <c r="F43" s="58"/>
      <c r="G43" s="175"/>
      <c r="H43" s="58"/>
      <c r="I43" s="175"/>
      <c r="J43" s="58"/>
      <c r="K43" s="59"/>
      <c r="L43" s="160"/>
      <c r="M43" s="160"/>
      <c r="N43" s="158"/>
      <c r="O43" s="159"/>
      <c r="Q43" s="49"/>
      <c r="R43" s="49"/>
      <c r="S43" s="49"/>
      <c r="T43" s="49"/>
      <c r="U43" s="49"/>
      <c r="V43" s="49"/>
      <c r="W43" s="49"/>
    </row>
    <row r="44" spans="4:23" ht="15.6" thickTop="1" thickBot="1">
      <c r="D44" s="56"/>
      <c r="E44" s="62"/>
      <c r="F44" s="56"/>
      <c r="G44" s="62"/>
      <c r="H44" s="56"/>
      <c r="I44" s="62"/>
      <c r="J44" s="56"/>
      <c r="K44" s="57"/>
      <c r="L44" s="161" t="s">
        <v>92</v>
      </c>
      <c r="M44" s="162"/>
      <c r="N44" s="165"/>
      <c r="O44" s="166"/>
      <c r="Q44" s="49"/>
      <c r="R44" s="49"/>
      <c r="S44" s="49"/>
      <c r="T44" s="49"/>
      <c r="U44" s="49"/>
      <c r="V44" s="49"/>
      <c r="W44" s="49"/>
    </row>
    <row r="45" spans="4:23" ht="15" thickBot="1">
      <c r="D45" s="60"/>
      <c r="E45" s="63"/>
      <c r="F45" s="60"/>
      <c r="G45" s="63"/>
      <c r="H45" s="60"/>
      <c r="I45" s="63"/>
      <c r="J45" s="60"/>
      <c r="K45" s="61"/>
      <c r="L45" s="163" t="s">
        <v>93</v>
      </c>
      <c r="M45" s="164"/>
      <c r="N45" s="167"/>
      <c r="O45" s="168"/>
      <c r="Q45" s="49"/>
      <c r="R45" s="49"/>
      <c r="S45" s="49"/>
      <c r="T45" s="49"/>
      <c r="U45" s="49"/>
      <c r="V45" s="49"/>
      <c r="W45" s="49"/>
    </row>
    <row r="46" spans="4:23" ht="15" thickTop="1">
      <c r="D46" s="195" t="s">
        <v>94</v>
      </c>
      <c r="E46" s="196"/>
      <c r="F46" s="196"/>
      <c r="G46" s="196"/>
      <c r="H46" s="196"/>
      <c r="I46" s="196"/>
      <c r="J46" s="196"/>
      <c r="K46" s="197"/>
      <c r="L46" s="180" t="s">
        <v>95</v>
      </c>
      <c r="M46" s="180"/>
      <c r="N46" s="180"/>
      <c r="O46" s="181"/>
      <c r="Q46" s="49"/>
      <c r="R46" s="49"/>
      <c r="S46" s="49"/>
      <c r="T46" s="49"/>
      <c r="U46" s="49"/>
      <c r="V46" s="49"/>
      <c r="W46" s="49"/>
    </row>
    <row r="47" spans="4:23" ht="15" thickBot="1">
      <c r="D47" s="198"/>
      <c r="E47" s="199"/>
      <c r="F47" s="199"/>
      <c r="G47" s="199"/>
      <c r="H47" s="199"/>
      <c r="I47" s="199"/>
      <c r="J47" s="199"/>
      <c r="K47" s="200"/>
      <c r="L47" s="182"/>
      <c r="M47" s="182"/>
      <c r="N47" s="182"/>
      <c r="O47" s="183"/>
      <c r="Q47" s="49"/>
      <c r="R47" s="49"/>
      <c r="S47" s="49"/>
      <c r="T47" s="49"/>
      <c r="U47" s="49"/>
      <c r="V47" s="49"/>
      <c r="W47" s="49"/>
    </row>
    <row r="48" spans="4:23">
      <c r="D48" s="201" t="s">
        <v>96</v>
      </c>
      <c r="E48" s="204"/>
      <c r="F48" s="204"/>
      <c r="G48" s="202"/>
      <c r="H48" s="201" t="s">
        <v>97</v>
      </c>
      <c r="I48" s="202"/>
      <c r="J48" s="205" t="s">
        <v>85</v>
      </c>
      <c r="K48" s="207" t="s">
        <v>87</v>
      </c>
      <c r="L48" s="184" t="s">
        <v>98</v>
      </c>
      <c r="M48" s="185"/>
      <c r="N48" s="186" t="s">
        <v>85</v>
      </c>
      <c r="O48" s="185"/>
      <c r="Q48" s="49"/>
      <c r="R48" s="49"/>
      <c r="S48" s="49"/>
      <c r="T48" s="49"/>
      <c r="U48" s="49"/>
      <c r="V48" s="49"/>
      <c r="W48" s="49"/>
    </row>
    <row r="49" spans="4:23" ht="15" thickBot="1">
      <c r="D49" s="198"/>
      <c r="E49" s="199"/>
      <c r="F49" s="199"/>
      <c r="G49" s="203"/>
      <c r="H49" s="198"/>
      <c r="I49" s="203"/>
      <c r="J49" s="206"/>
      <c r="K49" s="208"/>
      <c r="L49" s="182"/>
      <c r="M49" s="183"/>
      <c r="N49" s="187"/>
      <c r="O49" s="183"/>
      <c r="Q49" s="49"/>
      <c r="R49" s="49"/>
      <c r="S49" s="49"/>
      <c r="T49" s="49"/>
      <c r="U49" s="49"/>
      <c r="V49" s="49"/>
      <c r="W49" s="49"/>
    </row>
    <row r="50" spans="4:23">
      <c r="D50" s="169"/>
      <c r="E50" s="170"/>
      <c r="F50" s="170"/>
      <c r="G50" s="171"/>
      <c r="H50" s="169"/>
      <c r="I50" s="171"/>
      <c r="J50" s="193"/>
      <c r="K50" s="194"/>
      <c r="L50" s="184"/>
      <c r="M50" s="188"/>
      <c r="N50" s="191"/>
      <c r="O50" s="188"/>
      <c r="Q50" s="49"/>
      <c r="R50" s="49"/>
      <c r="S50" s="49"/>
      <c r="T50" s="49"/>
      <c r="U50" s="49"/>
      <c r="V50" s="49"/>
      <c r="W50" s="49"/>
    </row>
    <row r="51" spans="4:23">
      <c r="D51" s="172"/>
      <c r="E51" s="173"/>
      <c r="F51" s="173"/>
      <c r="G51" s="174"/>
      <c r="H51" s="172"/>
      <c r="I51" s="174"/>
      <c r="J51" s="177"/>
      <c r="K51" s="179"/>
      <c r="L51" s="189"/>
      <c r="M51" s="190"/>
      <c r="N51" s="192"/>
      <c r="O51" s="190"/>
      <c r="Q51" s="49"/>
      <c r="R51" s="49"/>
      <c r="S51" s="49"/>
      <c r="T51" s="49"/>
      <c r="U51" s="49"/>
      <c r="V51" s="49"/>
      <c r="W51" s="49"/>
    </row>
    <row r="52" spans="4:23">
      <c r="D52" s="169"/>
      <c r="E52" s="170"/>
      <c r="F52" s="170"/>
      <c r="G52" s="171"/>
      <c r="H52" s="169"/>
      <c r="I52" s="171"/>
      <c r="J52" s="176"/>
      <c r="K52" s="178"/>
      <c r="L52" s="209"/>
      <c r="M52" s="210"/>
      <c r="N52" s="214"/>
      <c r="O52" s="210"/>
      <c r="Q52" s="49"/>
      <c r="R52" s="49"/>
      <c r="S52" s="49"/>
      <c r="T52" s="49"/>
      <c r="U52" s="49"/>
      <c r="V52" s="49"/>
      <c r="W52" s="49"/>
    </row>
    <row r="53" spans="4:23">
      <c r="D53" s="172"/>
      <c r="E53" s="173"/>
      <c r="F53" s="173"/>
      <c r="G53" s="174"/>
      <c r="H53" s="172"/>
      <c r="I53" s="174"/>
      <c r="J53" s="177"/>
      <c r="K53" s="179"/>
      <c r="L53" s="189"/>
      <c r="M53" s="190"/>
      <c r="N53" s="192"/>
      <c r="O53" s="190"/>
      <c r="Q53" s="49"/>
      <c r="R53" s="49"/>
      <c r="S53" s="49"/>
      <c r="T53" s="49"/>
      <c r="U53" s="49"/>
      <c r="V53" s="49"/>
      <c r="W53" s="49"/>
    </row>
    <row r="54" spans="4:23">
      <c r="D54" s="169"/>
      <c r="E54" s="170"/>
      <c r="F54" s="170"/>
      <c r="G54" s="171"/>
      <c r="H54" s="169"/>
      <c r="I54" s="171"/>
      <c r="J54" s="176"/>
      <c r="K54" s="178"/>
      <c r="L54" s="209"/>
      <c r="M54" s="210"/>
      <c r="N54" s="214"/>
      <c r="O54" s="210"/>
      <c r="Q54" s="49"/>
      <c r="R54" s="49"/>
      <c r="S54" s="49"/>
      <c r="T54" s="49"/>
      <c r="U54" s="49"/>
      <c r="V54" s="49"/>
      <c r="W54" s="49"/>
    </row>
    <row r="55" spans="4:23">
      <c r="D55" s="172"/>
      <c r="E55" s="173"/>
      <c r="F55" s="173"/>
      <c r="G55" s="174"/>
      <c r="H55" s="172"/>
      <c r="I55" s="174"/>
      <c r="J55" s="177"/>
      <c r="K55" s="179"/>
      <c r="L55" s="189"/>
      <c r="M55" s="190"/>
      <c r="N55" s="192"/>
      <c r="O55" s="190"/>
      <c r="Q55" s="49"/>
      <c r="R55" s="49"/>
      <c r="S55" s="49"/>
      <c r="T55" s="49"/>
      <c r="U55" s="49"/>
      <c r="V55" s="49"/>
      <c r="W55" s="49"/>
    </row>
    <row r="56" spans="4:23">
      <c r="D56" s="169"/>
      <c r="E56" s="170"/>
      <c r="F56" s="170"/>
      <c r="G56" s="171"/>
      <c r="H56" s="169"/>
      <c r="I56" s="171"/>
      <c r="J56" s="176"/>
      <c r="K56" s="178"/>
      <c r="L56" s="209"/>
      <c r="M56" s="210"/>
      <c r="N56" s="214"/>
      <c r="O56" s="210"/>
      <c r="Q56" s="49"/>
      <c r="R56" s="49"/>
      <c r="S56" s="49"/>
      <c r="T56" s="49"/>
      <c r="U56" s="49"/>
      <c r="V56" s="49"/>
      <c r="W56" s="49"/>
    </row>
    <row r="57" spans="4:23">
      <c r="D57" s="172"/>
      <c r="E57" s="173"/>
      <c r="F57" s="173"/>
      <c r="G57" s="174"/>
      <c r="H57" s="172"/>
      <c r="I57" s="174"/>
      <c r="J57" s="177"/>
      <c r="K57" s="179"/>
      <c r="L57" s="189"/>
      <c r="M57" s="190"/>
      <c r="N57" s="192"/>
      <c r="O57" s="190"/>
      <c r="Q57" s="49"/>
      <c r="R57" s="49"/>
      <c r="S57" s="49"/>
      <c r="T57" s="49"/>
      <c r="U57" s="49"/>
      <c r="V57" s="49"/>
      <c r="W57" s="49"/>
    </row>
    <row r="58" spans="4:23">
      <c r="D58" s="169"/>
      <c r="E58" s="170"/>
      <c r="F58" s="170"/>
      <c r="G58" s="171"/>
      <c r="H58" s="169"/>
      <c r="I58" s="171"/>
      <c r="J58" s="176"/>
      <c r="K58" s="178"/>
      <c r="L58" s="209"/>
      <c r="M58" s="210"/>
      <c r="N58" s="214"/>
      <c r="O58" s="210"/>
      <c r="Q58" s="49"/>
      <c r="R58" s="49"/>
      <c r="S58" s="49"/>
      <c r="T58" s="49"/>
      <c r="U58" s="49"/>
      <c r="V58" s="49"/>
      <c r="W58" s="49"/>
    </row>
    <row r="59" spans="4:23">
      <c r="D59" s="172"/>
      <c r="E59" s="173"/>
      <c r="F59" s="173"/>
      <c r="G59" s="174"/>
      <c r="H59" s="172"/>
      <c r="I59" s="174"/>
      <c r="J59" s="177"/>
      <c r="K59" s="179"/>
      <c r="L59" s="189"/>
      <c r="M59" s="190"/>
      <c r="N59" s="192"/>
      <c r="O59" s="190"/>
      <c r="Q59" s="49"/>
      <c r="R59" s="49"/>
      <c r="S59" s="49"/>
      <c r="T59" s="49"/>
      <c r="U59" s="49"/>
      <c r="V59" s="49"/>
      <c r="W59" s="49"/>
    </row>
    <row r="60" spans="4:23">
      <c r="D60" s="169"/>
      <c r="E60" s="170"/>
      <c r="F60" s="170"/>
      <c r="G60" s="171"/>
      <c r="H60" s="169"/>
      <c r="I60" s="171"/>
      <c r="J60" s="176"/>
      <c r="K60" s="178"/>
      <c r="L60" s="209"/>
      <c r="M60" s="210"/>
      <c r="N60" s="214"/>
      <c r="O60" s="210"/>
      <c r="Q60" s="49"/>
      <c r="R60" s="49"/>
      <c r="S60" s="49"/>
      <c r="T60" s="49"/>
      <c r="U60" s="49"/>
      <c r="V60" s="49"/>
      <c r="W60" s="49"/>
    </row>
    <row r="61" spans="4:23">
      <c r="D61" s="172"/>
      <c r="E61" s="173"/>
      <c r="F61" s="173"/>
      <c r="G61" s="174"/>
      <c r="H61" s="172"/>
      <c r="I61" s="174"/>
      <c r="J61" s="177"/>
      <c r="K61" s="179"/>
      <c r="L61" s="189"/>
      <c r="M61" s="190"/>
      <c r="N61" s="192"/>
      <c r="O61" s="190"/>
      <c r="Q61" s="49"/>
      <c r="R61" s="49"/>
      <c r="S61" s="49"/>
      <c r="T61" s="49"/>
      <c r="U61" s="49"/>
      <c r="V61" s="49"/>
      <c r="W61" s="49"/>
    </row>
    <row r="62" spans="4:23">
      <c r="D62" s="169"/>
      <c r="E62" s="170"/>
      <c r="F62" s="170"/>
      <c r="G62" s="171"/>
      <c r="H62" s="169"/>
      <c r="I62" s="171"/>
      <c r="J62" s="176"/>
      <c r="K62" s="178"/>
      <c r="L62" s="209"/>
      <c r="M62" s="210"/>
      <c r="N62" s="214"/>
      <c r="O62" s="210"/>
      <c r="Q62" s="49"/>
      <c r="R62" s="49"/>
      <c r="S62" s="49"/>
      <c r="T62" s="49"/>
      <c r="U62" s="49"/>
      <c r="V62" s="49"/>
      <c r="W62" s="49"/>
    </row>
    <row r="63" spans="4:23">
      <c r="D63" s="172"/>
      <c r="E63" s="173"/>
      <c r="F63" s="173"/>
      <c r="G63" s="174"/>
      <c r="H63" s="172"/>
      <c r="I63" s="174"/>
      <c r="J63" s="177"/>
      <c r="K63" s="179"/>
      <c r="L63" s="189"/>
      <c r="M63" s="190"/>
      <c r="N63" s="192"/>
      <c r="O63" s="190"/>
      <c r="Q63" s="49"/>
      <c r="R63" s="49"/>
      <c r="S63" s="49"/>
      <c r="T63" s="49"/>
      <c r="U63" s="49"/>
      <c r="V63" s="49"/>
      <c r="W63" s="49"/>
    </row>
    <row r="64" spans="4:23">
      <c r="D64" s="169"/>
      <c r="E64" s="170"/>
      <c r="F64" s="170"/>
      <c r="G64" s="171"/>
      <c r="H64" s="169"/>
      <c r="I64" s="171"/>
      <c r="J64" s="176"/>
      <c r="K64" s="178"/>
      <c r="L64" s="211"/>
      <c r="M64" s="210"/>
      <c r="N64" s="214"/>
      <c r="O64" s="210"/>
      <c r="Q64" s="49"/>
      <c r="R64" s="49"/>
      <c r="S64" s="49"/>
      <c r="T64" s="49"/>
      <c r="U64" s="49"/>
      <c r="V64" s="49"/>
      <c r="W64" s="49"/>
    </row>
    <row r="65" spans="4:23" ht="15" thickBot="1">
      <c r="D65" s="172"/>
      <c r="E65" s="173"/>
      <c r="F65" s="173"/>
      <c r="G65" s="174"/>
      <c r="H65" s="172"/>
      <c r="I65" s="174"/>
      <c r="J65" s="177"/>
      <c r="K65" s="179"/>
      <c r="L65" s="212"/>
      <c r="M65" s="213"/>
      <c r="N65" s="215"/>
      <c r="O65" s="213"/>
      <c r="Q65" s="49"/>
      <c r="R65" s="49"/>
      <c r="S65" s="49"/>
      <c r="T65" s="49"/>
      <c r="U65" s="49"/>
      <c r="V65" s="49"/>
      <c r="W65" s="49"/>
    </row>
    <row r="66" spans="4:23" ht="15" thickTop="1">
      <c r="D66" s="169"/>
      <c r="E66" s="170"/>
      <c r="F66" s="170"/>
      <c r="G66" s="171"/>
      <c r="H66" s="169"/>
      <c r="I66" s="171"/>
      <c r="J66" s="176"/>
      <c r="K66" s="178"/>
      <c r="L66" s="144" t="s">
        <v>99</v>
      </c>
      <c r="M66" s="145"/>
      <c r="N66" s="145"/>
      <c r="O66" s="224"/>
      <c r="Q66" s="49"/>
      <c r="R66" s="49"/>
      <c r="S66" s="49"/>
      <c r="T66" s="49"/>
      <c r="U66" s="49"/>
      <c r="V66" s="49"/>
      <c r="W66" s="49"/>
    </row>
    <row r="67" spans="4:23" ht="15" thickBot="1">
      <c r="D67" s="172"/>
      <c r="E67" s="173"/>
      <c r="F67" s="173"/>
      <c r="G67" s="174"/>
      <c r="H67" s="172"/>
      <c r="I67" s="174"/>
      <c r="J67" s="177"/>
      <c r="K67" s="179"/>
      <c r="L67" s="225"/>
      <c r="M67" s="146"/>
      <c r="N67" s="146"/>
      <c r="O67" s="147"/>
      <c r="Q67" s="49"/>
      <c r="R67" s="49"/>
      <c r="S67" s="49"/>
      <c r="T67" s="49"/>
      <c r="U67" s="49"/>
      <c r="V67" s="49"/>
      <c r="W67" s="49"/>
    </row>
    <row r="68" spans="4:23">
      <c r="D68" s="169"/>
      <c r="E68" s="170"/>
      <c r="F68" s="170"/>
      <c r="G68" s="171"/>
      <c r="H68" s="169"/>
      <c r="I68" s="171"/>
      <c r="J68" s="176"/>
      <c r="K68" s="178"/>
      <c r="L68" s="226" t="s">
        <v>100</v>
      </c>
      <c r="M68" s="227"/>
      <c r="N68" s="230" t="s">
        <v>101</v>
      </c>
      <c r="O68" s="231"/>
      <c r="Q68" s="49"/>
      <c r="R68" s="49"/>
      <c r="S68" s="49"/>
      <c r="T68" s="49"/>
      <c r="U68" s="49"/>
      <c r="V68" s="49"/>
      <c r="W68" s="49"/>
    </row>
    <row r="69" spans="4:23" ht="15" thickBot="1">
      <c r="D69" s="172"/>
      <c r="E69" s="173"/>
      <c r="F69" s="173"/>
      <c r="G69" s="174"/>
      <c r="H69" s="172"/>
      <c r="I69" s="174"/>
      <c r="J69" s="177"/>
      <c r="K69" s="179"/>
      <c r="L69" s="228"/>
      <c r="M69" s="229"/>
      <c r="N69" s="232"/>
      <c r="O69" s="233"/>
      <c r="Q69" s="49"/>
      <c r="R69" s="49"/>
      <c r="S69" s="49"/>
      <c r="T69" s="49"/>
      <c r="U69" s="49"/>
      <c r="V69" s="49"/>
      <c r="W69" s="49"/>
    </row>
    <row r="70" spans="4:23">
      <c r="D70" s="169"/>
      <c r="E70" s="170"/>
      <c r="F70" s="170"/>
      <c r="G70" s="171"/>
      <c r="H70" s="169"/>
      <c r="I70" s="171"/>
      <c r="J70" s="176"/>
      <c r="K70" s="178"/>
      <c r="L70" s="222"/>
      <c r="M70" s="223"/>
      <c r="N70" s="222"/>
      <c r="O70" s="223"/>
      <c r="Q70" s="49"/>
      <c r="R70" s="49"/>
      <c r="S70" s="49"/>
      <c r="T70" s="49"/>
      <c r="U70" s="49"/>
      <c r="V70" s="49"/>
      <c r="W70" s="49"/>
    </row>
    <row r="71" spans="4:23">
      <c r="D71" s="172"/>
      <c r="E71" s="173"/>
      <c r="F71" s="173"/>
      <c r="G71" s="174"/>
      <c r="H71" s="172"/>
      <c r="I71" s="174"/>
      <c r="J71" s="177"/>
      <c r="K71" s="179"/>
      <c r="L71" s="218"/>
      <c r="M71" s="219"/>
      <c r="N71" s="218"/>
      <c r="O71" s="219"/>
      <c r="Q71" s="49"/>
      <c r="R71" s="49"/>
      <c r="S71" s="49"/>
      <c r="T71" s="49"/>
      <c r="U71" s="49"/>
      <c r="V71" s="49"/>
      <c r="W71" s="49"/>
    </row>
    <row r="72" spans="4:23">
      <c r="D72" s="169"/>
      <c r="E72" s="170"/>
      <c r="F72" s="170"/>
      <c r="G72" s="171"/>
      <c r="H72" s="169"/>
      <c r="I72" s="171"/>
      <c r="J72" s="176"/>
      <c r="K72" s="178"/>
      <c r="L72" s="216"/>
      <c r="M72" s="217"/>
      <c r="N72" s="216"/>
      <c r="O72" s="217"/>
      <c r="Q72" s="49"/>
      <c r="R72" s="49"/>
      <c r="S72" s="49"/>
      <c r="T72" s="49"/>
      <c r="U72" s="49"/>
      <c r="V72" s="49"/>
      <c r="W72" s="49"/>
    </row>
    <row r="73" spans="4:23">
      <c r="D73" s="172"/>
      <c r="E73" s="173"/>
      <c r="F73" s="173"/>
      <c r="G73" s="174"/>
      <c r="H73" s="172"/>
      <c r="I73" s="174"/>
      <c r="J73" s="177"/>
      <c r="K73" s="179"/>
      <c r="L73" s="218"/>
      <c r="M73" s="219"/>
      <c r="N73" s="218"/>
      <c r="O73" s="219"/>
      <c r="Q73" s="49"/>
      <c r="R73" s="49"/>
      <c r="S73" s="49"/>
      <c r="T73" s="49"/>
      <c r="U73" s="49"/>
      <c r="V73" s="49"/>
      <c r="W73" s="49"/>
    </row>
    <row r="74" spans="4:23">
      <c r="D74" s="169"/>
      <c r="E74" s="170"/>
      <c r="F74" s="170"/>
      <c r="G74" s="171"/>
      <c r="H74" s="169"/>
      <c r="I74" s="171"/>
      <c r="J74" s="176"/>
      <c r="K74" s="178"/>
      <c r="L74" s="216"/>
      <c r="M74" s="217"/>
      <c r="N74" s="216"/>
      <c r="O74" s="217"/>
      <c r="Q74" s="49"/>
      <c r="R74" s="49"/>
      <c r="S74" s="49"/>
      <c r="T74" s="49"/>
      <c r="U74" s="49"/>
      <c r="V74" s="49"/>
      <c r="W74" s="49"/>
    </row>
    <row r="75" spans="4:23">
      <c r="D75" s="172"/>
      <c r="E75" s="173"/>
      <c r="F75" s="173"/>
      <c r="G75" s="174"/>
      <c r="H75" s="172"/>
      <c r="I75" s="174"/>
      <c r="J75" s="177"/>
      <c r="K75" s="179"/>
      <c r="L75" s="218"/>
      <c r="M75" s="219"/>
      <c r="N75" s="218"/>
      <c r="O75" s="219"/>
      <c r="Q75" s="49"/>
      <c r="R75" s="49"/>
      <c r="S75" s="49"/>
      <c r="T75" s="49"/>
      <c r="U75" s="49"/>
      <c r="V75" s="49"/>
      <c r="W75" s="49"/>
    </row>
    <row r="76" spans="4:23">
      <c r="D76" s="235"/>
      <c r="E76" s="236"/>
      <c r="F76" s="236"/>
      <c r="G76" s="237"/>
      <c r="H76" s="235"/>
      <c r="I76" s="237"/>
      <c r="J76" s="176"/>
      <c r="K76" s="178"/>
      <c r="L76" s="216"/>
      <c r="M76" s="217"/>
      <c r="N76" s="216"/>
      <c r="O76" s="217"/>
      <c r="Q76" s="49"/>
      <c r="R76" s="49"/>
      <c r="S76" s="49"/>
      <c r="T76" s="49"/>
      <c r="U76" s="49"/>
      <c r="V76" s="49"/>
      <c r="W76" s="49"/>
    </row>
    <row r="77" spans="4:23" ht="15" thickBot="1">
      <c r="D77" s="238"/>
      <c r="E77" s="239"/>
      <c r="F77" s="239"/>
      <c r="G77" s="240"/>
      <c r="H77" s="238"/>
      <c r="I77" s="240"/>
      <c r="J77" s="241"/>
      <c r="K77" s="234"/>
      <c r="L77" s="220"/>
      <c r="M77" s="221"/>
      <c r="N77" s="220"/>
      <c r="O77" s="221"/>
      <c r="Q77" s="49"/>
      <c r="R77" s="49"/>
      <c r="S77" s="49"/>
      <c r="T77" s="49"/>
      <c r="U77" s="49"/>
      <c r="V77" s="49"/>
      <c r="W77" s="49"/>
    </row>
    <row r="78" spans="4:23" ht="15" thickTop="1">
      <c r="D78" s="242" t="s">
        <v>102</v>
      </c>
      <c r="E78" s="243"/>
      <c r="F78" s="243"/>
      <c r="G78" s="243"/>
      <c r="H78" s="244"/>
      <c r="I78" s="252" t="s">
        <v>103</v>
      </c>
      <c r="J78" s="252"/>
      <c r="K78" s="252"/>
      <c r="L78" s="252"/>
      <c r="M78" s="252"/>
      <c r="N78" s="252"/>
      <c r="O78" s="253"/>
      <c r="Q78" s="49"/>
      <c r="R78" s="49"/>
      <c r="S78" s="49"/>
      <c r="T78" s="49"/>
      <c r="U78" s="49"/>
      <c r="V78" s="49"/>
      <c r="W78" s="49"/>
    </row>
    <row r="79" spans="4:23" ht="15" thickBot="1">
      <c r="D79" s="245"/>
      <c r="E79" s="246"/>
      <c r="F79" s="246"/>
      <c r="G79" s="246"/>
      <c r="H79" s="247"/>
      <c r="I79" s="254"/>
      <c r="J79" s="254"/>
      <c r="K79" s="254"/>
      <c r="L79" s="254"/>
      <c r="M79" s="254"/>
      <c r="N79" s="254"/>
      <c r="O79" s="255"/>
      <c r="Q79" s="296" t="s">
        <v>104</v>
      </c>
      <c r="R79" s="296"/>
      <c r="S79" s="296"/>
      <c r="T79" s="296"/>
      <c r="U79" s="296"/>
      <c r="V79" s="296"/>
      <c r="W79" s="296"/>
    </row>
    <row r="80" spans="4:23">
      <c r="D80" s="248" t="s">
        <v>105</v>
      </c>
      <c r="E80" s="249"/>
      <c r="F80" s="249"/>
      <c r="G80" s="249"/>
      <c r="H80" s="250" t="s">
        <v>106</v>
      </c>
      <c r="I80" s="256" t="s">
        <v>107</v>
      </c>
      <c r="J80" s="257"/>
      <c r="K80" s="258"/>
      <c r="L80" s="256"/>
      <c r="M80" s="256"/>
      <c r="N80" s="256"/>
      <c r="O80" s="257"/>
      <c r="Q80" s="296"/>
      <c r="R80" s="296"/>
      <c r="S80" s="296"/>
      <c r="T80" s="296"/>
      <c r="U80" s="296"/>
      <c r="V80" s="296"/>
      <c r="W80" s="296"/>
    </row>
    <row r="81" spans="4:23" ht="15" thickBot="1">
      <c r="D81" s="245"/>
      <c r="E81" s="246"/>
      <c r="F81" s="246"/>
      <c r="G81" s="246"/>
      <c r="H81" s="251"/>
      <c r="I81" s="254"/>
      <c r="J81" s="255"/>
      <c r="K81" s="259"/>
      <c r="L81" s="254"/>
      <c r="M81" s="254"/>
      <c r="N81" s="254"/>
      <c r="O81" s="255"/>
      <c r="Q81" s="289"/>
      <c r="R81" s="289"/>
      <c r="S81" s="289"/>
      <c r="T81" s="289"/>
      <c r="U81" s="289"/>
      <c r="V81" s="289"/>
      <c r="W81" s="289"/>
    </row>
    <row r="82" spans="4:23">
      <c r="D82" s="280"/>
      <c r="E82" s="249"/>
      <c r="F82" s="249"/>
      <c r="G82" s="281"/>
      <c r="H82" s="285"/>
      <c r="I82" s="290" t="s">
        <v>108</v>
      </c>
      <c r="J82" s="256"/>
      <c r="K82" s="256"/>
      <c r="L82" s="291"/>
      <c r="M82" s="256" t="s">
        <v>109</v>
      </c>
      <c r="N82" s="256"/>
      <c r="O82" s="274"/>
      <c r="Q82" s="289"/>
      <c r="R82" s="289"/>
      <c r="S82" s="289"/>
      <c r="T82" s="289"/>
      <c r="U82" s="289"/>
      <c r="V82" s="289"/>
      <c r="W82" s="289"/>
    </row>
    <row r="83" spans="4:23">
      <c r="D83" s="282"/>
      <c r="E83" s="283"/>
      <c r="F83" s="283"/>
      <c r="G83" s="284"/>
      <c r="H83" s="83"/>
      <c r="I83" s="292"/>
      <c r="J83" s="252"/>
      <c r="K83" s="252"/>
      <c r="L83" s="293"/>
      <c r="M83" s="252"/>
      <c r="N83" s="252"/>
      <c r="O83" s="275"/>
      <c r="Q83" s="289"/>
      <c r="R83" s="289"/>
      <c r="S83" s="289"/>
      <c r="T83" s="289"/>
      <c r="U83" s="289"/>
      <c r="V83" s="289"/>
      <c r="W83" s="289"/>
    </row>
    <row r="84" spans="4:23">
      <c r="D84" s="260"/>
      <c r="E84" s="261"/>
      <c r="F84" s="261"/>
      <c r="G84" s="262"/>
      <c r="H84" s="272"/>
      <c r="I84" s="294"/>
      <c r="J84" s="276"/>
      <c r="K84" s="276"/>
      <c r="L84" s="295"/>
      <c r="M84" s="276"/>
      <c r="N84" s="276"/>
      <c r="O84" s="277"/>
      <c r="Q84" s="289"/>
      <c r="R84" s="289"/>
      <c r="S84" s="289"/>
      <c r="T84" s="289"/>
      <c r="U84" s="289"/>
      <c r="V84" s="289"/>
      <c r="W84" s="289"/>
    </row>
    <row r="85" spans="4:23">
      <c r="D85" s="263"/>
      <c r="E85" s="264"/>
      <c r="F85" s="264"/>
      <c r="G85" s="265"/>
      <c r="H85" s="273"/>
      <c r="I85" s="266"/>
      <c r="J85" s="267"/>
      <c r="K85" s="267"/>
      <c r="L85" s="278"/>
      <c r="M85" s="266"/>
      <c r="N85" s="267"/>
      <c r="O85" s="268"/>
      <c r="Q85" s="289"/>
      <c r="R85" s="289"/>
      <c r="S85" s="289"/>
      <c r="T85" s="289"/>
      <c r="U85" s="289"/>
      <c r="V85" s="289"/>
      <c r="W85" s="289"/>
    </row>
    <row r="86" spans="4:23">
      <c r="D86" s="260"/>
      <c r="E86" s="261"/>
      <c r="F86" s="261"/>
      <c r="G86" s="262"/>
      <c r="H86" s="272"/>
      <c r="I86" s="269"/>
      <c r="J86" s="270"/>
      <c r="K86" s="270"/>
      <c r="L86" s="279"/>
      <c r="M86" s="269"/>
      <c r="N86" s="270"/>
      <c r="O86" s="271"/>
      <c r="Q86" s="289"/>
      <c r="R86" s="289"/>
      <c r="S86" s="289"/>
      <c r="T86" s="289"/>
      <c r="U86" s="289"/>
      <c r="V86" s="289"/>
      <c r="W86" s="289"/>
    </row>
    <row r="87" spans="4:23">
      <c r="D87" s="263"/>
      <c r="E87" s="264"/>
      <c r="F87" s="264"/>
      <c r="G87" s="265"/>
      <c r="H87" s="273"/>
      <c r="I87" s="266"/>
      <c r="J87" s="267"/>
      <c r="K87" s="267"/>
      <c r="L87" s="278"/>
      <c r="M87" s="266"/>
      <c r="N87" s="267"/>
      <c r="O87" s="268"/>
      <c r="Q87" s="289"/>
      <c r="R87" s="289"/>
      <c r="S87" s="289"/>
      <c r="T87" s="289"/>
      <c r="U87" s="289"/>
      <c r="V87" s="289"/>
      <c r="W87" s="289"/>
    </row>
    <row r="88" spans="4:23">
      <c r="D88" s="260"/>
      <c r="E88" s="261"/>
      <c r="F88" s="261"/>
      <c r="G88" s="262"/>
      <c r="H88" s="272"/>
      <c r="I88" s="269"/>
      <c r="J88" s="270"/>
      <c r="K88" s="270"/>
      <c r="L88" s="279"/>
      <c r="M88" s="269"/>
      <c r="N88" s="270"/>
      <c r="O88" s="271"/>
      <c r="Q88" s="289"/>
      <c r="R88" s="289"/>
      <c r="S88" s="289"/>
      <c r="T88" s="289"/>
      <c r="U88" s="289"/>
      <c r="V88" s="289"/>
      <c r="W88" s="289"/>
    </row>
    <row r="89" spans="4:23">
      <c r="D89" s="263"/>
      <c r="E89" s="264"/>
      <c r="F89" s="264"/>
      <c r="G89" s="265"/>
      <c r="H89" s="273"/>
      <c r="I89" s="266"/>
      <c r="J89" s="267"/>
      <c r="K89" s="267"/>
      <c r="L89" s="278"/>
      <c r="M89" s="266"/>
      <c r="N89" s="267"/>
      <c r="O89" s="268"/>
      <c r="Q89" s="289"/>
      <c r="R89" s="289"/>
      <c r="S89" s="289"/>
      <c r="T89" s="289"/>
      <c r="U89" s="289"/>
      <c r="V89" s="289"/>
      <c r="W89" s="289"/>
    </row>
    <row r="90" spans="4:23">
      <c r="D90" s="260"/>
      <c r="E90" s="261"/>
      <c r="F90" s="261"/>
      <c r="G90" s="262"/>
      <c r="H90" s="272"/>
      <c r="I90" s="269"/>
      <c r="J90" s="270"/>
      <c r="K90" s="270"/>
      <c r="L90" s="279"/>
      <c r="M90" s="269"/>
      <c r="N90" s="270"/>
      <c r="O90" s="271"/>
      <c r="Q90" s="289"/>
      <c r="R90" s="289"/>
      <c r="S90" s="289"/>
      <c r="T90" s="289"/>
      <c r="U90" s="289"/>
      <c r="V90" s="289"/>
      <c r="W90" s="289"/>
    </row>
    <row r="91" spans="4:23">
      <c r="D91" s="263"/>
      <c r="E91" s="264"/>
      <c r="F91" s="264"/>
      <c r="G91" s="265"/>
      <c r="H91" s="273"/>
      <c r="I91" s="266"/>
      <c r="J91" s="267"/>
      <c r="K91" s="267"/>
      <c r="L91" s="278"/>
      <c r="M91" s="266"/>
      <c r="N91" s="267"/>
      <c r="O91" s="268"/>
      <c r="Q91" s="289"/>
      <c r="R91" s="289"/>
      <c r="S91" s="289"/>
      <c r="T91" s="289"/>
      <c r="U91" s="289"/>
      <c r="V91" s="289"/>
      <c r="W91" s="289"/>
    </row>
    <row r="92" spans="4:23">
      <c r="D92" s="260"/>
      <c r="E92" s="261"/>
      <c r="F92" s="261"/>
      <c r="G92" s="262"/>
      <c r="H92" s="272"/>
      <c r="I92" s="269"/>
      <c r="J92" s="270"/>
      <c r="K92" s="270"/>
      <c r="L92" s="279"/>
      <c r="M92" s="269"/>
      <c r="N92" s="270"/>
      <c r="O92" s="271"/>
      <c r="Q92" s="289"/>
      <c r="R92" s="289"/>
      <c r="S92" s="289"/>
      <c r="T92" s="289"/>
      <c r="U92" s="289"/>
      <c r="V92" s="289"/>
      <c r="W92" s="289"/>
    </row>
    <row r="93" spans="4:23">
      <c r="D93" s="263"/>
      <c r="E93" s="264"/>
      <c r="F93" s="264"/>
      <c r="G93" s="265"/>
      <c r="H93" s="273"/>
      <c r="I93" s="266"/>
      <c r="J93" s="267"/>
      <c r="K93" s="267"/>
      <c r="L93" s="278"/>
      <c r="M93" s="266"/>
      <c r="N93" s="267"/>
      <c r="O93" s="268"/>
      <c r="Q93" s="289"/>
      <c r="R93" s="289"/>
      <c r="S93" s="289"/>
      <c r="T93" s="289"/>
      <c r="U93" s="289"/>
      <c r="V93" s="289"/>
      <c r="W93" s="289"/>
    </row>
    <row r="94" spans="4:23">
      <c r="D94" s="260"/>
      <c r="E94" s="261"/>
      <c r="F94" s="261"/>
      <c r="G94" s="262"/>
      <c r="H94" s="272"/>
      <c r="I94" s="269"/>
      <c r="J94" s="270"/>
      <c r="K94" s="270"/>
      <c r="L94" s="279"/>
      <c r="M94" s="269"/>
      <c r="N94" s="270"/>
      <c r="O94" s="271"/>
      <c r="Q94" s="289"/>
      <c r="R94" s="289"/>
      <c r="S94" s="289"/>
      <c r="T94" s="289"/>
      <c r="U94" s="289"/>
      <c r="V94" s="289"/>
      <c r="W94" s="289"/>
    </row>
    <row r="95" spans="4:23">
      <c r="D95" s="263"/>
      <c r="E95" s="264"/>
      <c r="F95" s="264"/>
      <c r="G95" s="265"/>
      <c r="H95" s="273"/>
      <c r="I95" s="266"/>
      <c r="J95" s="267"/>
      <c r="K95" s="267"/>
      <c r="L95" s="278"/>
      <c r="M95" s="266"/>
      <c r="N95" s="267"/>
      <c r="O95" s="268"/>
      <c r="Q95" s="289"/>
      <c r="R95" s="289"/>
      <c r="S95" s="289"/>
      <c r="T95" s="289"/>
      <c r="U95" s="289"/>
      <c r="V95" s="289"/>
      <c r="W95" s="289"/>
    </row>
    <row r="96" spans="4:23">
      <c r="D96" s="260"/>
      <c r="E96" s="261"/>
      <c r="F96" s="261"/>
      <c r="G96" s="262"/>
      <c r="H96" s="272"/>
      <c r="I96" s="269"/>
      <c r="J96" s="270"/>
      <c r="K96" s="270"/>
      <c r="L96" s="279"/>
      <c r="M96" s="269"/>
      <c r="N96" s="270"/>
      <c r="O96" s="271"/>
      <c r="Q96" s="289"/>
      <c r="R96" s="289"/>
      <c r="S96" s="289"/>
      <c r="T96" s="289"/>
      <c r="U96" s="289"/>
      <c r="V96" s="289"/>
      <c r="W96" s="289"/>
    </row>
    <row r="97" spans="4:23">
      <c r="D97" s="263"/>
      <c r="E97" s="264"/>
      <c r="F97" s="264"/>
      <c r="G97" s="265"/>
      <c r="H97" s="273"/>
      <c r="I97" s="266"/>
      <c r="J97" s="267"/>
      <c r="K97" s="267"/>
      <c r="L97" s="278"/>
      <c r="M97" s="266"/>
      <c r="N97" s="267"/>
      <c r="O97" s="268"/>
      <c r="Q97" s="289"/>
      <c r="R97" s="289"/>
      <c r="S97" s="289"/>
      <c r="T97" s="289"/>
      <c r="U97" s="289"/>
      <c r="V97" s="289"/>
      <c r="W97" s="289"/>
    </row>
    <row r="98" spans="4:23">
      <c r="D98" s="260"/>
      <c r="E98" s="261"/>
      <c r="F98" s="261"/>
      <c r="G98" s="262"/>
      <c r="H98" s="272"/>
      <c r="I98" s="269"/>
      <c r="J98" s="270"/>
      <c r="K98" s="270"/>
      <c r="L98" s="279"/>
      <c r="M98" s="269"/>
      <c r="N98" s="270"/>
      <c r="O98" s="271"/>
      <c r="Q98" s="289"/>
      <c r="R98" s="289"/>
      <c r="S98" s="289"/>
      <c r="T98" s="289"/>
      <c r="U98" s="289"/>
      <c r="V98" s="289"/>
      <c r="W98" s="289"/>
    </row>
    <row r="99" spans="4:23">
      <c r="D99" s="263"/>
      <c r="E99" s="264"/>
      <c r="F99" s="264"/>
      <c r="G99" s="265"/>
      <c r="H99" s="273"/>
      <c r="I99" s="266"/>
      <c r="J99" s="267"/>
      <c r="K99" s="267"/>
      <c r="L99" s="278"/>
      <c r="M99" s="266"/>
      <c r="N99" s="267"/>
      <c r="O99" s="268"/>
      <c r="Q99" s="289"/>
      <c r="R99" s="289"/>
      <c r="S99" s="289"/>
      <c r="T99" s="289"/>
      <c r="U99" s="289"/>
      <c r="V99" s="289"/>
      <c r="W99" s="289"/>
    </row>
    <row r="100" spans="4:23">
      <c r="D100" s="260"/>
      <c r="E100" s="261"/>
      <c r="F100" s="261"/>
      <c r="G100" s="262"/>
      <c r="H100" s="272"/>
      <c r="I100" s="269"/>
      <c r="J100" s="270"/>
      <c r="K100" s="270"/>
      <c r="L100" s="279"/>
      <c r="M100" s="269"/>
      <c r="N100" s="270"/>
      <c r="O100" s="271"/>
      <c r="Q100" s="289"/>
      <c r="R100" s="289"/>
      <c r="S100" s="289"/>
      <c r="T100" s="289"/>
      <c r="U100" s="289"/>
      <c r="V100" s="289"/>
      <c r="W100" s="289"/>
    </row>
    <row r="101" spans="4:23">
      <c r="D101" s="263"/>
      <c r="E101" s="264"/>
      <c r="F101" s="264"/>
      <c r="G101" s="265"/>
      <c r="H101" s="273"/>
      <c r="I101" s="266"/>
      <c r="J101" s="267"/>
      <c r="K101" s="267"/>
      <c r="L101" s="278"/>
      <c r="M101" s="266"/>
      <c r="N101" s="267"/>
      <c r="O101" s="268"/>
      <c r="Q101" s="297"/>
      <c r="R101" s="297"/>
      <c r="S101" s="297"/>
      <c r="T101" s="297"/>
      <c r="U101" s="297"/>
      <c r="V101" s="297"/>
      <c r="W101" s="297"/>
    </row>
    <row r="102" spans="4:23" ht="15" thickBot="1">
      <c r="D102" s="260"/>
      <c r="E102" s="261"/>
      <c r="F102" s="261"/>
      <c r="G102" s="262"/>
      <c r="H102" s="272"/>
      <c r="I102" s="286"/>
      <c r="J102" s="287"/>
      <c r="K102" s="287"/>
      <c r="L102" s="288"/>
      <c r="M102" s="286"/>
      <c r="N102" s="287"/>
      <c r="O102" s="299"/>
      <c r="Q102" s="298"/>
      <c r="R102" s="298"/>
      <c r="S102" s="298"/>
      <c r="T102" s="298"/>
      <c r="U102" s="298"/>
      <c r="V102" s="298"/>
      <c r="W102" s="298"/>
    </row>
    <row r="103" spans="4:23" ht="15" thickTop="1">
      <c r="D103" s="263"/>
      <c r="E103" s="264"/>
      <c r="F103" s="264"/>
      <c r="G103" s="265"/>
      <c r="H103" s="273"/>
      <c r="I103" s="22"/>
      <c r="J103" s="23"/>
      <c r="K103" s="23"/>
      <c r="L103" s="23"/>
      <c r="M103" s="23"/>
      <c r="N103" s="23"/>
      <c r="O103" s="23"/>
      <c r="Q103" s="298"/>
      <c r="R103" s="298"/>
      <c r="S103" s="298"/>
      <c r="T103" s="298"/>
      <c r="U103" s="298"/>
      <c r="V103" s="298"/>
      <c r="W103" s="298"/>
    </row>
    <row r="104" spans="4:23">
      <c r="D104" s="260"/>
      <c r="E104" s="261"/>
      <c r="F104" s="261"/>
      <c r="G104" s="262"/>
      <c r="H104" s="272"/>
      <c r="I104" s="24"/>
      <c r="J104" s="25"/>
      <c r="K104" s="25"/>
      <c r="L104" s="25"/>
      <c r="M104" s="25"/>
      <c r="N104" s="25"/>
      <c r="O104" s="25"/>
      <c r="Q104" s="297"/>
      <c r="R104" s="297"/>
      <c r="S104" s="297"/>
      <c r="T104" s="297"/>
      <c r="U104" s="297"/>
      <c r="V104" s="297"/>
      <c r="W104" s="297"/>
    </row>
    <row r="105" spans="4:23">
      <c r="D105" s="263"/>
      <c r="E105" s="264"/>
      <c r="F105" s="264"/>
      <c r="G105" s="265"/>
      <c r="H105" s="273"/>
      <c r="I105" s="24"/>
      <c r="J105" s="25"/>
      <c r="K105" s="25"/>
      <c r="L105" s="25"/>
      <c r="M105" s="25"/>
      <c r="N105" s="25"/>
      <c r="O105" s="25"/>
      <c r="Q105" s="298"/>
      <c r="R105" s="298"/>
      <c r="S105" s="298"/>
      <c r="T105" s="298"/>
      <c r="U105" s="298"/>
      <c r="V105" s="298"/>
      <c r="W105" s="298"/>
    </row>
    <row r="106" spans="4:23">
      <c r="D106" s="260"/>
      <c r="E106" s="261"/>
      <c r="F106" s="261"/>
      <c r="G106" s="262"/>
      <c r="H106" s="272"/>
      <c r="I106" s="24"/>
      <c r="J106" s="25"/>
      <c r="K106" s="25"/>
      <c r="L106" s="25"/>
      <c r="M106" s="25"/>
      <c r="N106" s="25"/>
      <c r="O106" s="25"/>
      <c r="Q106" s="297"/>
      <c r="R106" s="297"/>
      <c r="S106" s="297"/>
      <c r="T106" s="297"/>
      <c r="U106" s="297"/>
      <c r="V106" s="297"/>
      <c r="W106" s="297"/>
    </row>
    <row r="107" spans="4:23">
      <c r="D107" s="263"/>
      <c r="E107" s="264"/>
      <c r="F107" s="264"/>
      <c r="G107" s="265"/>
      <c r="H107" s="273"/>
      <c r="I107" s="24"/>
      <c r="J107" s="25"/>
      <c r="K107" s="25"/>
      <c r="L107" s="25"/>
      <c r="M107" s="25"/>
      <c r="N107" s="25"/>
      <c r="O107" s="25"/>
      <c r="Q107" s="298"/>
      <c r="R107" s="298"/>
      <c r="S107" s="298"/>
      <c r="T107" s="298"/>
      <c r="U107" s="298"/>
      <c r="V107" s="298"/>
      <c r="W107" s="298"/>
    </row>
    <row r="108" spans="4:23">
      <c r="D108" s="260"/>
      <c r="E108" s="261"/>
      <c r="F108" s="261"/>
      <c r="G108" s="262"/>
      <c r="H108" s="272"/>
      <c r="I108" s="24"/>
      <c r="J108" s="25"/>
      <c r="K108" s="25"/>
      <c r="L108" s="25"/>
      <c r="M108" s="25"/>
      <c r="N108" s="25"/>
      <c r="O108" s="25"/>
      <c r="Q108" s="297"/>
      <c r="R108" s="297"/>
      <c r="S108" s="297"/>
      <c r="T108" s="297"/>
      <c r="U108" s="297"/>
      <c r="V108" s="297"/>
      <c r="W108" s="297"/>
    </row>
    <row r="109" spans="4:23">
      <c r="D109" s="263"/>
      <c r="E109" s="264"/>
      <c r="F109" s="264"/>
      <c r="G109" s="265"/>
      <c r="H109" s="273"/>
      <c r="Q109" s="298"/>
      <c r="R109" s="298"/>
      <c r="S109" s="298"/>
      <c r="T109" s="298"/>
      <c r="U109" s="298"/>
      <c r="V109" s="298"/>
      <c r="W109" s="298"/>
    </row>
    <row r="110" spans="4:23">
      <c r="D110" s="260"/>
      <c r="E110" s="261"/>
      <c r="F110" s="261"/>
      <c r="G110" s="262"/>
      <c r="H110" s="272"/>
      <c r="Q110" s="297"/>
      <c r="R110" s="297"/>
      <c r="S110" s="297"/>
      <c r="T110" s="297"/>
      <c r="U110" s="297"/>
      <c r="V110" s="297"/>
      <c r="W110" s="297"/>
    </row>
    <row r="111" spans="4:23">
      <c r="D111" s="263"/>
      <c r="E111" s="264"/>
      <c r="F111" s="264"/>
      <c r="G111" s="265"/>
      <c r="H111" s="273"/>
      <c r="Q111" s="298"/>
      <c r="R111" s="298"/>
      <c r="S111" s="298"/>
      <c r="T111" s="298"/>
      <c r="U111" s="298"/>
      <c r="V111" s="298"/>
      <c r="W111" s="298"/>
    </row>
  </sheetData>
  <mergeCells count="267">
    <mergeCell ref="D110:G111"/>
    <mergeCell ref="H110:H111"/>
    <mergeCell ref="Q104:W105"/>
    <mergeCell ref="Q106:W107"/>
    <mergeCell ref="Q108:W109"/>
    <mergeCell ref="Q110:W111"/>
    <mergeCell ref="D102:G103"/>
    <mergeCell ref="D104:G105"/>
    <mergeCell ref="D106:G107"/>
    <mergeCell ref="H102:H103"/>
    <mergeCell ref="H104:H105"/>
    <mergeCell ref="H106:H107"/>
    <mergeCell ref="M101:O102"/>
    <mergeCell ref="Q101:W103"/>
    <mergeCell ref="D108:G109"/>
    <mergeCell ref="H108:H109"/>
    <mergeCell ref="D100:G101"/>
    <mergeCell ref="Q77:W78"/>
    <mergeCell ref="Q79:W80"/>
    <mergeCell ref="Q81:W82"/>
    <mergeCell ref="Q83:W84"/>
    <mergeCell ref="Q85:W86"/>
    <mergeCell ref="Q45:W46"/>
    <mergeCell ref="Q67:W68"/>
    <mergeCell ref="Q69:W70"/>
    <mergeCell ref="Q71:W72"/>
    <mergeCell ref="Q73:W74"/>
    <mergeCell ref="Q75:W76"/>
    <mergeCell ref="Q57:W58"/>
    <mergeCell ref="Q59:W60"/>
    <mergeCell ref="Q61:W62"/>
    <mergeCell ref="Q63:W64"/>
    <mergeCell ref="Q65:W66"/>
    <mergeCell ref="Q47:W48"/>
    <mergeCell ref="Q49:W50"/>
    <mergeCell ref="Q51:W52"/>
    <mergeCell ref="Q53:W54"/>
    <mergeCell ref="Q55:W56"/>
    <mergeCell ref="Q87:W88"/>
    <mergeCell ref="Q89:W90"/>
    <mergeCell ref="Q91:W92"/>
    <mergeCell ref="Q93:W94"/>
    <mergeCell ref="Q95:W96"/>
    <mergeCell ref="M95:O96"/>
    <mergeCell ref="M97:O98"/>
    <mergeCell ref="M99:O100"/>
    <mergeCell ref="I91:L92"/>
    <mergeCell ref="I93:L94"/>
    <mergeCell ref="I95:L96"/>
    <mergeCell ref="Q97:W98"/>
    <mergeCell ref="Q99:W100"/>
    <mergeCell ref="I97:L98"/>
    <mergeCell ref="I99:L100"/>
    <mergeCell ref="H96:H97"/>
    <mergeCell ref="H98:H99"/>
    <mergeCell ref="H100:H101"/>
    <mergeCell ref="M82:O84"/>
    <mergeCell ref="I85:L86"/>
    <mergeCell ref="I87:L88"/>
    <mergeCell ref="I89:L90"/>
    <mergeCell ref="D82:G83"/>
    <mergeCell ref="H82:H83"/>
    <mergeCell ref="I101:L102"/>
    <mergeCell ref="D94:G95"/>
    <mergeCell ref="D96:G97"/>
    <mergeCell ref="D98:G99"/>
    <mergeCell ref="I82:L84"/>
    <mergeCell ref="H84:H85"/>
    <mergeCell ref="H86:H87"/>
    <mergeCell ref="D78:H79"/>
    <mergeCell ref="D80:G81"/>
    <mergeCell ref="H80:H81"/>
    <mergeCell ref="I78:O79"/>
    <mergeCell ref="I80:J81"/>
    <mergeCell ref="K80:O81"/>
    <mergeCell ref="D90:G91"/>
    <mergeCell ref="M85:O86"/>
    <mergeCell ref="M87:O88"/>
    <mergeCell ref="M89:O90"/>
    <mergeCell ref="M91:O92"/>
    <mergeCell ref="D92:G93"/>
    <mergeCell ref="M93:O94"/>
    <mergeCell ref="D84:G85"/>
    <mergeCell ref="D86:G87"/>
    <mergeCell ref="D88:G89"/>
    <mergeCell ref="H88:H89"/>
    <mergeCell ref="H90:H91"/>
    <mergeCell ref="H92:H93"/>
    <mergeCell ref="H94:H95"/>
    <mergeCell ref="D76:G77"/>
    <mergeCell ref="H66:I67"/>
    <mergeCell ref="H68:I69"/>
    <mergeCell ref="H70:I71"/>
    <mergeCell ref="H72:I73"/>
    <mergeCell ref="H74:I75"/>
    <mergeCell ref="H76:I77"/>
    <mergeCell ref="J66:J67"/>
    <mergeCell ref="J68:J69"/>
    <mergeCell ref="J70:J71"/>
    <mergeCell ref="J72:J73"/>
    <mergeCell ref="J74:J75"/>
    <mergeCell ref="J76:J77"/>
    <mergeCell ref="D66:G67"/>
    <mergeCell ref="D68:G69"/>
    <mergeCell ref="D70:G71"/>
    <mergeCell ref="D72:G73"/>
    <mergeCell ref="D74:G75"/>
    <mergeCell ref="H56:I57"/>
    <mergeCell ref="H58:I59"/>
    <mergeCell ref="H60:I61"/>
    <mergeCell ref="H62:I63"/>
    <mergeCell ref="H64:I65"/>
    <mergeCell ref="L74:M75"/>
    <mergeCell ref="L76:M77"/>
    <mergeCell ref="N70:O71"/>
    <mergeCell ref="N72:O73"/>
    <mergeCell ref="N74:O75"/>
    <mergeCell ref="N76:O77"/>
    <mergeCell ref="L66:O67"/>
    <mergeCell ref="L68:M69"/>
    <mergeCell ref="N68:O69"/>
    <mergeCell ref="L70:M71"/>
    <mergeCell ref="L72:M73"/>
    <mergeCell ref="K68:K69"/>
    <mergeCell ref="K70:K71"/>
    <mergeCell ref="K72:K73"/>
    <mergeCell ref="K74:K75"/>
    <mergeCell ref="K76:K77"/>
    <mergeCell ref="K66:K67"/>
    <mergeCell ref="L64:M65"/>
    <mergeCell ref="N52:O53"/>
    <mergeCell ref="N54:O55"/>
    <mergeCell ref="N56:O57"/>
    <mergeCell ref="N58:O59"/>
    <mergeCell ref="N60:O61"/>
    <mergeCell ref="N62:O63"/>
    <mergeCell ref="N64:O65"/>
    <mergeCell ref="L52:M53"/>
    <mergeCell ref="L54:M55"/>
    <mergeCell ref="L56:M57"/>
    <mergeCell ref="L58:M59"/>
    <mergeCell ref="L60:M61"/>
    <mergeCell ref="L46:O47"/>
    <mergeCell ref="L48:M49"/>
    <mergeCell ref="N48:O49"/>
    <mergeCell ref="L50:M51"/>
    <mergeCell ref="N50:O51"/>
    <mergeCell ref="J56:J57"/>
    <mergeCell ref="J58:J59"/>
    <mergeCell ref="J60:J61"/>
    <mergeCell ref="J62:J63"/>
    <mergeCell ref="J50:J51"/>
    <mergeCell ref="J52:J53"/>
    <mergeCell ref="J54:J55"/>
    <mergeCell ref="K50:K51"/>
    <mergeCell ref="K52:K53"/>
    <mergeCell ref="K54:K55"/>
    <mergeCell ref="D46:K47"/>
    <mergeCell ref="H48:I49"/>
    <mergeCell ref="D48:G49"/>
    <mergeCell ref="J48:J49"/>
    <mergeCell ref="K48:K49"/>
    <mergeCell ref="L62:M63"/>
    <mergeCell ref="D56:G57"/>
    <mergeCell ref="D58:G59"/>
    <mergeCell ref="D60:G61"/>
    <mergeCell ref="F44:G45"/>
    <mergeCell ref="D44:E45"/>
    <mergeCell ref="L42:O43"/>
    <mergeCell ref="L44:M44"/>
    <mergeCell ref="L45:M45"/>
    <mergeCell ref="N44:O44"/>
    <mergeCell ref="N45:O45"/>
    <mergeCell ref="D62:G63"/>
    <mergeCell ref="D64:G65"/>
    <mergeCell ref="H50:I51"/>
    <mergeCell ref="D50:G51"/>
    <mergeCell ref="D52:G53"/>
    <mergeCell ref="D54:G55"/>
    <mergeCell ref="H52:I53"/>
    <mergeCell ref="H54:I55"/>
    <mergeCell ref="D42:E43"/>
    <mergeCell ref="F42:G43"/>
    <mergeCell ref="H42:I43"/>
    <mergeCell ref="J64:J65"/>
    <mergeCell ref="K56:K57"/>
    <mergeCell ref="K58:K59"/>
    <mergeCell ref="K60:K61"/>
    <mergeCell ref="K62:K63"/>
    <mergeCell ref="K64:K65"/>
    <mergeCell ref="D15:E16"/>
    <mergeCell ref="F15:G16"/>
    <mergeCell ref="H15:I16"/>
    <mergeCell ref="D17:O18"/>
    <mergeCell ref="D34:O35"/>
    <mergeCell ref="J15:K16"/>
    <mergeCell ref="L15:N16"/>
    <mergeCell ref="O15:P16"/>
    <mergeCell ref="O12:P12"/>
    <mergeCell ref="F40:G41"/>
    <mergeCell ref="D40:E41"/>
    <mergeCell ref="D38:E39"/>
    <mergeCell ref="F38:G39"/>
    <mergeCell ref="H38:I39"/>
    <mergeCell ref="J38:K39"/>
    <mergeCell ref="D36:E37"/>
    <mergeCell ref="F36:G37"/>
    <mergeCell ref="H36:I37"/>
    <mergeCell ref="J36:K37"/>
    <mergeCell ref="J40:K41"/>
    <mergeCell ref="D2:H3"/>
    <mergeCell ref="G9:H9"/>
    <mergeCell ref="D13:E14"/>
    <mergeCell ref="F13:G14"/>
    <mergeCell ref="H13:I14"/>
    <mergeCell ref="D4:D5"/>
    <mergeCell ref="E4:H5"/>
    <mergeCell ref="D6:D7"/>
    <mergeCell ref="D10:D11"/>
    <mergeCell ref="E6:H7"/>
    <mergeCell ref="E8:F8"/>
    <mergeCell ref="E10:H11"/>
    <mergeCell ref="I2:P3"/>
    <mergeCell ref="I10:J11"/>
    <mergeCell ref="K10:L11"/>
    <mergeCell ref="K4:L5"/>
    <mergeCell ref="K6:L7"/>
    <mergeCell ref="K8:L9"/>
    <mergeCell ref="M10:N11"/>
    <mergeCell ref="M4:N5"/>
    <mergeCell ref="O4:P5"/>
    <mergeCell ref="O6:P7"/>
    <mergeCell ref="O8:P9"/>
    <mergeCell ref="O10:P11"/>
    <mergeCell ref="M6:N7"/>
    <mergeCell ref="M8:N9"/>
    <mergeCell ref="I4:J5"/>
    <mergeCell ref="I6:J7"/>
    <mergeCell ref="Q19:R19"/>
    <mergeCell ref="Q17:R18"/>
    <mergeCell ref="I8:J9"/>
    <mergeCell ref="M12:N12"/>
    <mergeCell ref="L38:M39"/>
    <mergeCell ref="N38:O39"/>
    <mergeCell ref="K12:L12"/>
    <mergeCell ref="J13:K14"/>
    <mergeCell ref="L13:N14"/>
    <mergeCell ref="O13:P14"/>
    <mergeCell ref="L40:M41"/>
    <mergeCell ref="N40:O41"/>
    <mergeCell ref="L36:O37"/>
    <mergeCell ref="H40:I41"/>
    <mergeCell ref="Q33:W33"/>
    <mergeCell ref="Q34:W34"/>
    <mergeCell ref="Q35:W36"/>
    <mergeCell ref="Q27:W28"/>
    <mergeCell ref="Q29:W29"/>
    <mergeCell ref="Q30:W30"/>
    <mergeCell ref="Q31:W31"/>
    <mergeCell ref="Q32:W32"/>
    <mergeCell ref="Q37:W38"/>
    <mergeCell ref="Q39:W40"/>
    <mergeCell ref="Q41:W42"/>
    <mergeCell ref="J42:K43"/>
    <mergeCell ref="Q43:W44"/>
    <mergeCell ref="J44:K45"/>
    <mergeCell ref="H44:I4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ca_num">
                <anchor moveWithCells="1" sizeWithCells="1">
                  <from>
                    <xdr:col>8</xdr:col>
                    <xdr:colOff>15240</xdr:colOff>
                    <xdr:row>3</xdr:row>
                    <xdr:rowOff>15240</xdr:rowOff>
                  </from>
                  <to>
                    <xdr:col>9</xdr:col>
                    <xdr:colOff>967740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nstituicao_num">
                <anchor moveWithCells="1" sizeWithCells="1">
                  <from>
                    <xdr:col>8</xdr:col>
                    <xdr:colOff>15240</xdr:colOff>
                    <xdr:row>5</xdr:row>
                    <xdr:rowOff>15240</xdr:rowOff>
                  </from>
                  <to>
                    <xdr:col>9</xdr:col>
                    <xdr:colOff>967740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tamanho_num">
                <anchor moveWithCells="1" sizeWithCells="1">
                  <from>
                    <xdr:col>8</xdr:col>
                    <xdr:colOff>15240</xdr:colOff>
                    <xdr:row>7</xdr:row>
                    <xdr:rowOff>15240</xdr:rowOff>
                  </from>
                  <to>
                    <xdr:col>9</xdr:col>
                    <xdr:colOff>967740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destreza_num">
                <anchor moveWithCells="1" sizeWithCells="1">
                  <from>
                    <xdr:col>8</xdr:col>
                    <xdr:colOff>15240</xdr:colOff>
                    <xdr:row>9</xdr:row>
                    <xdr:rowOff>15240</xdr:rowOff>
                  </from>
                  <to>
                    <xdr:col>9</xdr:col>
                    <xdr:colOff>967740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educacao_num">
                <anchor moveWithCells="1" sizeWithCells="1">
                  <from>
                    <xdr:col>12</xdr:col>
                    <xdr:colOff>15240</xdr:colOff>
                    <xdr:row>9</xdr:row>
                    <xdr:rowOff>15240</xdr:rowOff>
                  </from>
                  <to>
                    <xdr:col>13</xdr:col>
                    <xdr:colOff>594360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poder_num">
                <anchor moveWithCells="1" sizeWithCells="1">
                  <from>
                    <xdr:col>12</xdr:col>
                    <xdr:colOff>22860</xdr:colOff>
                    <xdr:row>7</xdr:row>
                    <xdr:rowOff>22860</xdr:rowOff>
                  </from>
                  <to>
                    <xdr:col>13</xdr:col>
                    <xdr:colOff>601980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inteligencia_num">
                <anchor moveWithCells="1" sizeWithCells="1">
                  <from>
                    <xdr:col>12</xdr:col>
                    <xdr:colOff>15240</xdr:colOff>
                    <xdr:row>5</xdr:row>
                    <xdr:rowOff>15240</xdr:rowOff>
                  </from>
                  <to>
                    <xdr:col>13</xdr:col>
                    <xdr:colOff>594360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calculo_cel">
                <anchor moveWithCells="1" sizeWithCells="1">
                  <from>
                    <xdr:col>15</xdr:col>
                    <xdr:colOff>601980</xdr:colOff>
                    <xdr:row>22</xdr:row>
                    <xdr:rowOff>22860</xdr:rowOff>
                  </from>
                  <to>
                    <xdr:col>17</xdr:col>
                    <xdr:colOff>525780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dado_avulso">
                <anchor moveWithCells="1" sizeWithCells="1">
                  <from>
                    <xdr:col>15</xdr:col>
                    <xdr:colOff>594360</xdr:colOff>
                    <xdr:row>24</xdr:row>
                    <xdr:rowOff>76200</xdr:rowOff>
                  </from>
                  <to>
                    <xdr:col>17</xdr:col>
                    <xdr:colOff>518160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aparencia_num">
                <anchor moveWithCells="1" sizeWithCells="1">
                  <from>
                    <xdr:col>12</xdr:col>
                    <xdr:colOff>7620</xdr:colOff>
                    <xdr:row>3</xdr:row>
                    <xdr:rowOff>15240</xdr:rowOff>
                  </from>
                  <to>
                    <xdr:col>13</xdr:col>
                    <xdr:colOff>586740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experiencia_num">
                <anchor moveWithCells="1" sizeWithCells="1">
                  <from>
                    <xdr:col>7</xdr:col>
                    <xdr:colOff>15240</xdr:colOff>
                    <xdr:row>14</xdr:row>
                    <xdr:rowOff>15240</xdr:rowOff>
                  </from>
                  <to>
                    <xdr:col>8</xdr:col>
                    <xdr:colOff>594360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vida">
                <anchor moveWithCells="1">
                  <from>
                    <xdr:col>17</xdr:col>
                    <xdr:colOff>182880</xdr:colOff>
                    <xdr:row>6</xdr:row>
                    <xdr:rowOff>83820</xdr:rowOff>
                  </from>
                  <to>
                    <xdr:col>19</xdr:col>
                    <xdr:colOff>3810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sanidade">
                <anchor moveWithCells="1">
                  <from>
                    <xdr:col>17</xdr:col>
                    <xdr:colOff>190500</xdr:colOff>
                    <xdr:row>9</xdr:row>
                    <xdr:rowOff>7620</xdr:rowOff>
                  </from>
                  <to>
                    <xdr:col>19</xdr:col>
                    <xdr:colOff>1905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alquimia">
                <anchor moveWithCells="1">
                  <from>
                    <xdr:col>17</xdr:col>
                    <xdr:colOff>190500</xdr:colOff>
                    <xdr:row>12</xdr:row>
                    <xdr:rowOff>91440</xdr:rowOff>
                  </from>
                  <to>
                    <xdr:col>19</xdr:col>
                    <xdr:colOff>1905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pericia">
                <anchor moveWithCells="1">
                  <from>
                    <xdr:col>15</xdr:col>
                    <xdr:colOff>601980</xdr:colOff>
                    <xdr:row>19</xdr:row>
                    <xdr:rowOff>335280</xdr:rowOff>
                  </from>
                  <to>
                    <xdr:col>17</xdr:col>
                    <xdr:colOff>891540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2021-04-24T21:00:08Z</dcterms:created>
  <dcterms:modified xsi:type="dcterms:W3CDTF">2021-11-14T03:26:55Z</dcterms:modified>
  <cp:category/>
  <cp:contentStatus/>
</cp:coreProperties>
</file>